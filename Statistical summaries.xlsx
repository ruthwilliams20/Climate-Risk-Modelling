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eeds365-my.sharepoint.com/personal/kbcf0548_leeds_ac_uk/Documents/PhD/Chapter 1- conceptual framework/Literature review/Manuscript edits/"/>
    </mc:Choice>
  </mc:AlternateContent>
  <xr:revisionPtr revIDLastSave="0" documentId="8_{66220906-6B40-4F39-8CAE-5123380EFA30}" xr6:coauthVersionLast="47" xr6:coauthVersionMax="47" xr10:uidLastSave="{00000000-0000-0000-0000-000000000000}"/>
  <bookViews>
    <workbookView xWindow="28680" yWindow="-120" windowWidth="29040" windowHeight="15720" firstSheet="15" xr2:uid="{B6BDDB2A-9999-47CC-95BB-07D1ECB229BD}"/>
  </bookViews>
  <sheets>
    <sheet name="Information" sheetId="32" r:id="rId1"/>
    <sheet name="Region" sheetId="1" r:id="rId2"/>
    <sheet name="Temporal analysis" sheetId="21" r:id="rId3"/>
    <sheet name="Sector" sheetId="2" r:id="rId4"/>
    <sheet name="Region sector" sheetId="3" r:id="rId5"/>
    <sheet name="Scale" sheetId="4" r:id="rId6"/>
    <sheet name="Climate risk" sheetId="5" r:id="rId7"/>
    <sheet name="Adaptation type" sheetId="7" r:id="rId8"/>
    <sheet name="Strategy count" sheetId="9" r:id="rId9"/>
    <sheet name="Scenarios" sheetId="15" r:id="rId10"/>
    <sheet name="Climate metric" sheetId="19" r:id="rId11"/>
    <sheet name="Evaluation" sheetId="17" r:id="rId12"/>
    <sheet name="Participatory methods" sheetId="27" r:id="rId13"/>
    <sheet name="PM and evaluation" sheetId="28" r:id="rId14"/>
    <sheet name="Decision method" sheetId="29" r:id="rId15"/>
    <sheet name="Fisher test" sheetId="31" r:id="rId16"/>
    <sheet name="Decision and evaluation" sheetId="30" r:id="rId17"/>
    <sheet name="Strategy count, scale, calib" sheetId="22" r:id="rId18"/>
    <sheet name="Scale + sector" sheetId="23" r:id="rId19"/>
    <sheet name="Type + Sector" sheetId="18" r:id="rId20"/>
    <sheet name="Adaptation timing" sheetId="6" r:id="rId21"/>
    <sheet name="Maladaptation" sheetId="14" r:id="rId22"/>
    <sheet name="Evaluation methods" sheetId="26" r:id="rId23"/>
    <sheet name="Calib + scale" sheetId="25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C3" i="19"/>
  <c r="C2" i="19"/>
  <c r="C7" i="15"/>
  <c r="C6" i="15"/>
  <c r="C5" i="15"/>
  <c r="C4" i="15"/>
  <c r="C3" i="15"/>
  <c r="C2" i="15"/>
  <c r="E6" i="26"/>
  <c r="F7" i="23"/>
  <c r="F8" i="23"/>
  <c r="K27" i="21"/>
  <c r="K26" i="21"/>
  <c r="K25" i="21"/>
  <c r="K24" i="21"/>
  <c r="K23" i="21"/>
  <c r="K22" i="21"/>
  <c r="K21" i="21"/>
  <c r="K20" i="21"/>
  <c r="K19" i="21"/>
  <c r="K18" i="21"/>
  <c r="K17" i="21"/>
  <c r="K16" i="21"/>
  <c r="K14" i="21"/>
  <c r="K7" i="21"/>
  <c r="K10" i="21"/>
  <c r="K12" i="21"/>
  <c r="K13" i="21"/>
  <c r="K15" i="21"/>
  <c r="K6" i="21"/>
  <c r="I27" i="21"/>
  <c r="I17" i="21"/>
  <c r="I18" i="21"/>
  <c r="I19" i="21"/>
  <c r="I20" i="21"/>
  <c r="I21" i="21"/>
  <c r="I22" i="21"/>
  <c r="I23" i="21"/>
  <c r="I24" i="21"/>
  <c r="I25" i="21"/>
  <c r="I26" i="21"/>
  <c r="I16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12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7" i="21"/>
  <c r="D6" i="21"/>
  <c r="C4" i="17"/>
  <c r="C2" i="17"/>
  <c r="C3" i="17"/>
  <c r="C3" i="14"/>
  <c r="C2" i="14"/>
  <c r="C4" i="6"/>
  <c r="C2" i="6" l="1"/>
  <c r="C3" i="6"/>
  <c r="F10" i="23"/>
  <c r="J10" i="23" s="1"/>
  <c r="F13" i="23"/>
  <c r="I13" i="23" s="1"/>
  <c r="F5" i="23"/>
  <c r="I5" i="23" s="1"/>
  <c r="F9" i="23"/>
  <c r="J9" i="23" s="1"/>
  <c r="I9" i="23"/>
  <c r="F2" i="23"/>
  <c r="J2" i="23" s="1"/>
  <c r="H2" i="23"/>
  <c r="F4" i="23"/>
  <c r="H4" i="23" s="1"/>
  <c r="F6" i="23"/>
  <c r="H6" i="23" s="1"/>
  <c r="I6" i="23"/>
  <c r="F12" i="23"/>
  <c r="H12" i="23" s="1"/>
  <c r="F11" i="23"/>
  <c r="J11" i="23" s="1"/>
  <c r="F3" i="23"/>
  <c r="H3" i="23" s="1"/>
  <c r="I3" i="23"/>
  <c r="J12" i="23" l="1"/>
  <c r="I12" i="23"/>
  <c r="I4" i="23"/>
  <c r="J13" i="23"/>
  <c r="H11" i="23"/>
  <c r="H10" i="23"/>
  <c r="J3" i="23"/>
  <c r="G11" i="23"/>
  <c r="J4" i="23"/>
  <c r="G5" i="23"/>
  <c r="I11" i="23"/>
  <c r="G4" i="23"/>
  <c r="J5" i="23"/>
  <c r="H5" i="23"/>
  <c r="G13" i="23"/>
  <c r="G2" i="23"/>
  <c r="H13" i="23"/>
  <c r="G12" i="23"/>
  <c r="I2" i="23"/>
  <c r="G10" i="23"/>
  <c r="G9" i="23"/>
  <c r="I10" i="23"/>
  <c r="G6" i="23"/>
  <c r="H9" i="23"/>
  <c r="G3" i="23"/>
  <c r="J6" i="23"/>
</calcChain>
</file>

<file path=xl/sharedStrings.xml><?xml version="1.0" encoding="utf-8"?>
<sst xmlns="http://schemas.openxmlformats.org/spreadsheetml/2006/main" count="242" uniqueCount="134">
  <si>
    <t>Region</t>
  </si>
  <si>
    <t>Africa</t>
  </si>
  <si>
    <t>Asia</t>
  </si>
  <si>
    <t>Europe</t>
  </si>
  <si>
    <t>North America</t>
  </si>
  <si>
    <t>Central and South America</t>
  </si>
  <si>
    <t>Australasia</t>
  </si>
  <si>
    <t>Small islands</t>
  </si>
  <si>
    <t>Polar regions</t>
  </si>
  <si>
    <t>Global</t>
  </si>
  <si>
    <t>Theoretical</t>
  </si>
  <si>
    <t>Count</t>
  </si>
  <si>
    <t>Sector</t>
  </si>
  <si>
    <t>Coastal and ocean management</t>
  </si>
  <si>
    <t>Health</t>
  </si>
  <si>
    <t>Infrastructure and transport</t>
  </si>
  <si>
    <t>Tourism</t>
  </si>
  <si>
    <t>Water management</t>
  </si>
  <si>
    <t xml:space="preserve">Energy </t>
  </si>
  <si>
    <t>Finance</t>
  </si>
  <si>
    <t>Disaster risk management</t>
  </si>
  <si>
    <t xml:space="preserve">Industry </t>
  </si>
  <si>
    <t>Historical populations</t>
  </si>
  <si>
    <t>Agriculture and land use</t>
  </si>
  <si>
    <t>Energy</t>
  </si>
  <si>
    <t>Industry</t>
  </si>
  <si>
    <t>Indigenous Culture</t>
  </si>
  <si>
    <t>Multiple regions</t>
  </si>
  <si>
    <t xml:space="preserve">Infrastructure and transport </t>
  </si>
  <si>
    <t>Scale</t>
  </si>
  <si>
    <t>Community</t>
  </si>
  <si>
    <t>Sub-national</t>
  </si>
  <si>
    <t>National</t>
  </si>
  <si>
    <t>Multi-national</t>
  </si>
  <si>
    <t>Climate risk</t>
  </si>
  <si>
    <t>Temperature</t>
  </si>
  <si>
    <t>Precipitation</t>
  </si>
  <si>
    <t>Precipitation (drought)</t>
  </si>
  <si>
    <t>Storms</t>
  </si>
  <si>
    <t>Ocean and coastal</t>
  </si>
  <si>
    <t>Cryosphere</t>
  </si>
  <si>
    <t>Biophysical and ecological</t>
  </si>
  <si>
    <t>Theoretical climate hazard</t>
  </si>
  <si>
    <t>Base value</t>
  </si>
  <si>
    <t xml:space="preserve">Precipitation (flooding) </t>
  </si>
  <si>
    <t>Timing</t>
  </si>
  <si>
    <t>Proactive</t>
  </si>
  <si>
    <t>Reactive</t>
  </si>
  <si>
    <t xml:space="preserve">Both </t>
  </si>
  <si>
    <t>Adaptation type</t>
  </si>
  <si>
    <t>Behavioural</t>
  </si>
  <si>
    <t>Technology</t>
  </si>
  <si>
    <t>Physical infrastructure</t>
  </si>
  <si>
    <t>Nature-based</t>
  </si>
  <si>
    <t>Relocation</t>
  </si>
  <si>
    <t>Policy</t>
  </si>
  <si>
    <t xml:space="preserve">Warning/observing infrastructure </t>
  </si>
  <si>
    <t>Sensitivity</t>
  </si>
  <si>
    <t>Calibration</t>
  </si>
  <si>
    <t>Validation</t>
  </si>
  <si>
    <t>Other</t>
  </si>
  <si>
    <t xml:space="preserve">Precipitation (variable) </t>
  </si>
  <si>
    <t>Percent</t>
  </si>
  <si>
    <t>Frequency</t>
  </si>
  <si>
    <t>Yes</t>
  </si>
  <si>
    <t xml:space="preserve">No </t>
  </si>
  <si>
    <t>Maladaptation</t>
  </si>
  <si>
    <t>No</t>
  </si>
  <si>
    <t>RCP or SSP</t>
  </si>
  <si>
    <t>Participatory</t>
  </si>
  <si>
    <t>Non-participatory</t>
  </si>
  <si>
    <t>None</t>
  </si>
  <si>
    <t xml:space="preserve">Warning or observing infrastructure </t>
  </si>
  <si>
    <t>Evaluation</t>
  </si>
  <si>
    <t>Average</t>
  </si>
  <si>
    <t>Extreme</t>
  </si>
  <si>
    <t>Validation methods</t>
  </si>
  <si>
    <t>Comparison to observations</t>
  </si>
  <si>
    <t>Comparison with secondary data</t>
  </si>
  <si>
    <t>Previous validation</t>
  </si>
  <si>
    <t>Comparison to other models</t>
  </si>
  <si>
    <t>Face validation</t>
  </si>
  <si>
    <t>With communities</t>
  </si>
  <si>
    <t xml:space="preserve">With stakeholders or policy makers </t>
  </si>
  <si>
    <t>Literature</t>
  </si>
  <si>
    <t>Calibration methods</t>
  </si>
  <si>
    <t xml:space="preserve">Pattern matching </t>
  </si>
  <si>
    <t xml:space="preserve">Previous calibration </t>
  </si>
  <si>
    <t>Survey</t>
  </si>
  <si>
    <t xml:space="preserve">Algorithm or statistics </t>
  </si>
  <si>
    <t>Secondary data</t>
  </si>
  <si>
    <t>Field data</t>
  </si>
  <si>
    <t>Local</t>
  </si>
  <si>
    <t>Arctic regions</t>
  </si>
  <si>
    <t>Unspecified</t>
  </si>
  <si>
    <t>Both</t>
  </si>
  <si>
    <t>Theory</t>
  </si>
  <si>
    <t>Year</t>
  </si>
  <si>
    <t>Calibration count</t>
  </si>
  <si>
    <t>Validation count</t>
  </si>
  <si>
    <t>Scenarios</t>
  </si>
  <si>
    <t>PM</t>
  </si>
  <si>
    <t xml:space="preserve">Dynamic behaviour </t>
  </si>
  <si>
    <t>Total papers</t>
  </si>
  <si>
    <t>Calibration %</t>
  </si>
  <si>
    <t>Validation %</t>
  </si>
  <si>
    <t>PM %</t>
  </si>
  <si>
    <t>Dynamic %</t>
  </si>
  <si>
    <t>Mean adaptation strategies</t>
  </si>
  <si>
    <t>Calibrated</t>
  </si>
  <si>
    <t>Scenario type</t>
  </si>
  <si>
    <t>Climate metric</t>
  </si>
  <si>
    <t>Rule</t>
  </si>
  <si>
    <t>Strategy count</t>
  </si>
  <si>
    <t>Extreme events</t>
  </si>
  <si>
    <t>Decision method</t>
  </si>
  <si>
    <t>PM yes</t>
  </si>
  <si>
    <t>PM no</t>
  </si>
  <si>
    <t>No-PM no</t>
  </si>
  <si>
    <t>No-PM yes</t>
  </si>
  <si>
    <t>Variable</t>
  </si>
  <si>
    <t>Community count</t>
  </si>
  <si>
    <t>Sub-national count</t>
  </si>
  <si>
    <t>National count</t>
  </si>
  <si>
    <t>Multi-national count</t>
  </si>
  <si>
    <t>Total</t>
  </si>
  <si>
    <t>Community %</t>
  </si>
  <si>
    <t>Sub-national %</t>
  </si>
  <si>
    <t>National %</t>
  </si>
  <si>
    <t>Multi-national %</t>
  </si>
  <si>
    <t xml:space="preserve">Statistical summaries for </t>
  </si>
  <si>
    <t>Integrating adaptation into climate risk models using agent-based modelling: a systematic literature review</t>
  </si>
  <si>
    <t>Green tabs: Sheets used for figure development</t>
  </si>
  <si>
    <t>Grey tabs: Sheets used for general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</si>
</sst>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applyAlignment="1">
      <alignment horizontal="left" vertical="top" wrapText="1"/>
    </xf>
    <xf numFmtId="164" fontId="0" fillId="0" borderId="0" xfId="0" applyNumberFormat="1"/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EBE40"/>
      <color rgb="FF5E2228"/>
      <color rgb="FFE098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'Strategy count'!$E$1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'Strategy count'!$B$12:$B$136</c:f>
              <c:numCache>
                <c:formatCode>General</c:formatCode>
                <c:ptCount val="125"/>
              </c:numCache>
            </c:numRef>
          </c:xVal>
          <c:yVal>
            <c:numRef>
              <c:f>'Strategy count'!$E$2:$E$136</c:f>
              <c:numCache>
                <c:formatCode>General</c:formatCode>
                <c:ptCount val="13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ED-4D43-A5D9-982D6181D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274872"/>
        <c:axId val="859275232"/>
      </c:scatterChart>
      <c:valAx>
        <c:axId val="859274872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adaptation strategies modelled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275232"/>
        <c:crosses val="autoZero"/>
        <c:crossBetween val="midCat"/>
        <c:majorUnit val="1"/>
      </c:valAx>
      <c:valAx>
        <c:axId val="8592752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9274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'Strategy count'!$B$1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'Strategy count'!$A$2:$A$11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'Strategy count'!$B$2:$B$11</c:f>
              <c:numCache>
                <c:formatCode>General</c:formatCode>
                <c:ptCount val="10"/>
                <c:pt idx="0">
                  <c:v>28</c:v>
                </c:pt>
                <c:pt idx="1">
                  <c:v>28</c:v>
                </c:pt>
                <c:pt idx="2">
                  <c:v>24</c:v>
                </c:pt>
                <c:pt idx="3">
                  <c:v>18</c:v>
                </c:pt>
                <c:pt idx="4">
                  <c:v>13</c:v>
                </c:pt>
                <c:pt idx="5">
                  <c:v>9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A-4CAA-8AFD-D3DCB7F65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398880"/>
        <c:axId val="1131399240"/>
      </c:barChart>
      <c:catAx>
        <c:axId val="1131398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Adaptation strategy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99240"/>
        <c:crosses val="autoZero"/>
        <c:auto val="1"/>
        <c:lblAlgn val="ctr"/>
        <c:lblOffset val="100"/>
        <c:noMultiLvlLbl val="0"/>
      </c:catAx>
      <c:valAx>
        <c:axId val="1131399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Article 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9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103186</xdr:colOff>
      <xdr:row>17</xdr:row>
      <xdr:rowOff>77786</xdr:rowOff>
    </xdr:from>
    <xdr:to>
      <xdr:col>27</xdr:col>
      <xdr:colOff>47624</xdr:colOff>
      <xdr:row>34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A466AE-183A-BDEA-ABB8-0722937CA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18</xdr:row>
      <xdr:rowOff>41274</xdr:rowOff>
    </xdr:from>
    <xdr:to>
      <xdr:col>16</xdr:col>
      <xdr:colOff>581025</xdr:colOff>
      <xdr:row>31</xdr:row>
      <xdr:rowOff>60324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5B12E4C-4C4F-E379-DD7F-7EBE32466F25}"/>
            </a:ext>
          </a:extLst>
        </xdr:cNvPr>
        <xdr:cNvSpPr/>
      </xdr:nvSpPr>
      <xdr:spPr>
        <a:xfrm>
          <a:off x="10706100" y="3670299"/>
          <a:ext cx="257175" cy="2371725"/>
        </a:xfrm>
        <a:prstGeom prst="rect">
          <a:avLst/>
        </a:prstGeom>
        <a:solidFill>
          <a:srgbClr val="0EBE40">
            <a:alpha val="30980"/>
          </a:srgbClr>
        </a:solidFill>
        <a:ln>
          <a:solidFill>
            <a:schemeClr val="accent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16</xdr:col>
      <xdr:colOff>212724</xdr:colOff>
      <xdr:row>17</xdr:row>
      <xdr:rowOff>9525</xdr:rowOff>
    </xdr:from>
    <xdr:to>
      <xdr:col>17</xdr:col>
      <xdr:colOff>117474</xdr:colOff>
      <xdr:row>18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27EFD2E-F80C-8301-D70D-F358A00D2C1E}"/>
            </a:ext>
          </a:extLst>
        </xdr:cNvPr>
        <xdr:cNvSpPr txBox="1"/>
      </xdr:nvSpPr>
      <xdr:spPr>
        <a:xfrm>
          <a:off x="10594974" y="3457575"/>
          <a:ext cx="51435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kern="1200"/>
            <a:t>Mean</a:t>
          </a:r>
        </a:p>
      </xdr:txBody>
    </xdr:sp>
    <xdr:clientData/>
  </xdr:twoCellAnchor>
  <xdr:twoCellAnchor>
    <xdr:from>
      <xdr:col>20</xdr:col>
      <xdr:colOff>331787</xdr:colOff>
      <xdr:row>0</xdr:row>
      <xdr:rowOff>325437</xdr:rowOff>
    </xdr:from>
    <xdr:to>
      <xdr:col>28</xdr:col>
      <xdr:colOff>20637</xdr:colOff>
      <xdr:row>14</xdr:row>
      <xdr:rowOff>169862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84BFEE-60FA-7164-3B97-FB41191C0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0.30598</cdr:x>
      <cdr:y>0.18828</cdr:y>
    </cdr:from>
    <cdr:to>
      <cdr:x>0.36544</cdr:x>
      <cdr:y>0.80034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15B12E4C-4C4F-E379-DD7F-7EBE32466F25}"/>
            </a:ext>
          </a:extLst>
        </cdr:cNvPr>
        <cdr:cNvSpPr/>
      </cdr:nvSpPr>
      <cdr:spPr>
        <a:xfrm xmlns:a="http://schemas.openxmlformats.org/drawingml/2006/main">
          <a:off x="1397000" y="525463"/>
          <a:ext cx="271463" cy="1708150"/>
        </a:xfrm>
        <a:prstGeom xmlns:a="http://schemas.openxmlformats.org/drawingml/2006/main" prst="rect">
          <a:avLst/>
        </a:prstGeom>
        <a:solidFill xmlns:a="http://schemas.openxmlformats.org/drawingml/2006/main">
          <a:srgbClr val="0EBE40">
            <a:alpha val="30980"/>
          </a:srgbClr>
        </a:solidFill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tlCol="0" anchor="t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GB" sz="1100" kern="1200"/>
        </a:p>
      </cdr:txBody>
    </cdr:sp>
  </cdr:relSizeAnchor>
  <cdr:relSizeAnchor xmlns:cdr="http://schemas.openxmlformats.org/drawingml/2006/chartDrawing">
    <cdr:from>
      <cdr:x>0.28234</cdr:x>
      <cdr:y>0.12059</cdr:y>
    </cdr:from>
    <cdr:to>
      <cdr:x>0.39499</cdr:x>
      <cdr:y>0.20364</cdr:y>
    </cdr:to>
    <cdr:sp macro="" textlink="">
      <cdr:nvSpPr>
        <cdr:cNvPr id="3" name="TextBox 4">
          <a:extLst xmlns:a="http://schemas.openxmlformats.org/drawingml/2006/main">
            <a:ext uri="{FF2B5EF4-FFF2-40B4-BE49-F238E27FC236}">
              <a16:creationId xmlns:a16="http://schemas.microsoft.com/office/drawing/2014/main" id="{827EFD2E-F80C-8301-D70D-F358A00D2C1E}"/>
            </a:ext>
          </a:extLst>
        </cdr:cNvPr>
        <cdr:cNvSpPr txBox="1"/>
      </cdr:nvSpPr>
      <cdr:spPr>
        <a:xfrm xmlns:a="http://schemas.openxmlformats.org/drawingml/2006/main">
          <a:off x="1289050" y="336550"/>
          <a:ext cx="514350" cy="2317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 kern="1200"/>
            <a:t>Mean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B98E7-F051-43CA-9567-E53BCD05A35A}">
  <sheetPr>
    <tabColor theme="2" tint="-0.249977111117893"/>
  </sheetPr>
  <dimension ref="A1:A5"/>
  <sheetViews>
    <sheetView tabSelected="1" workbookViewId="0">
      <selection activeCell="A6" sqref="A6"/>
    </sheetView>
  </sheetViews>
  <sheetFormatPr defaultRowHeight="14.5" x14ac:dyDescent="0.35"/>
  <sheetData>
    <row r="1" spans="1:1" x14ac:dyDescent="0.35">
      <c r="A1" t="s">
        <v>130</v>
      </c>
    </row>
    <row r="2" spans="1:1" x14ac:dyDescent="0.35">
      <c r="A2" t="s">
        <v>131</v>
      </c>
    </row>
    <row r="4" spans="1:1" x14ac:dyDescent="0.35">
      <c r="A4" t="s">
        <v>132</v>
      </c>
    </row>
    <row r="5" spans="1:1" x14ac:dyDescent="0.35">
      <c r="A5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5F41-E6B0-4DC6-BF9D-B5D97724BC3D}">
  <sheetPr>
    <tabColor rgb="FF0EBE40"/>
  </sheetPr>
  <dimension ref="A1:D12"/>
  <sheetViews>
    <sheetView zoomScale="108" workbookViewId="0">
      <selection activeCell="B22" sqref="B22"/>
    </sheetView>
  </sheetViews>
  <sheetFormatPr defaultRowHeight="14.5" x14ac:dyDescent="0.35"/>
  <cols>
    <col min="1" max="1" width="11.36328125" customWidth="1"/>
    <col min="3" max="3" width="17.7265625" bestFit="1" customWidth="1"/>
    <col min="4" max="4" width="24.54296875" bestFit="1" customWidth="1"/>
  </cols>
  <sheetData>
    <row r="1" spans="1:4" x14ac:dyDescent="0.35">
      <c r="A1" t="s">
        <v>0</v>
      </c>
      <c r="B1" t="s">
        <v>11</v>
      </c>
    </row>
    <row r="2" spans="1:4" x14ac:dyDescent="0.35">
      <c r="A2" s="2" t="s">
        <v>1</v>
      </c>
      <c r="B2">
        <v>16</v>
      </c>
      <c r="D2" s="5"/>
    </row>
    <row r="3" spans="1:4" x14ac:dyDescent="0.35">
      <c r="A3" s="2" t="s">
        <v>2</v>
      </c>
      <c r="B3">
        <v>29</v>
      </c>
      <c r="D3" s="5"/>
    </row>
    <row r="4" spans="1:4" ht="29" x14ac:dyDescent="0.35">
      <c r="A4" s="2" t="s">
        <v>6</v>
      </c>
      <c r="B4">
        <v>5</v>
      </c>
      <c r="D4" s="5"/>
    </row>
    <row r="5" spans="1:4" ht="58" x14ac:dyDescent="0.35">
      <c r="A5" s="2" t="s">
        <v>5</v>
      </c>
      <c r="B5">
        <v>5</v>
      </c>
      <c r="D5" s="5"/>
    </row>
    <row r="6" spans="1:4" x14ac:dyDescent="0.35">
      <c r="A6" s="2" t="s">
        <v>3</v>
      </c>
      <c r="B6">
        <v>29</v>
      </c>
      <c r="D6" s="5"/>
    </row>
    <row r="7" spans="1:4" ht="29" x14ac:dyDescent="0.35">
      <c r="A7" s="2" t="s">
        <v>4</v>
      </c>
      <c r="B7">
        <v>30</v>
      </c>
      <c r="D7" s="5"/>
    </row>
    <row r="8" spans="1:4" ht="29" x14ac:dyDescent="0.35">
      <c r="A8" s="2" t="s">
        <v>93</v>
      </c>
      <c r="B8">
        <v>1</v>
      </c>
      <c r="D8" s="5"/>
    </row>
    <row r="9" spans="1:4" ht="29" x14ac:dyDescent="0.35">
      <c r="A9" s="2" t="s">
        <v>7</v>
      </c>
      <c r="B9">
        <v>1</v>
      </c>
      <c r="D9" s="5"/>
    </row>
    <row r="10" spans="1:4" ht="29" x14ac:dyDescent="0.35">
      <c r="A10" s="2" t="s">
        <v>27</v>
      </c>
      <c r="B10">
        <v>1</v>
      </c>
    </row>
    <row r="11" spans="1:4" ht="15" customHeight="1" x14ac:dyDescent="0.35">
      <c r="A11" s="2" t="s">
        <v>9</v>
      </c>
      <c r="B11">
        <v>0</v>
      </c>
    </row>
    <row r="12" spans="1:4" ht="29" x14ac:dyDescent="0.35">
      <c r="A12" s="2" t="s">
        <v>10</v>
      </c>
      <c r="B1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7D2F9-8A1B-4EDF-B423-C620968EE24B}">
  <sheetPr>
    <tabColor rgb="FF0EBE40"/>
  </sheetPr>
  <dimension ref="A1:K27"/>
  <sheetViews>
    <sheetView workbookViewId="0">
      <selection activeCell="B22" sqref="B22"/>
    </sheetView>
  </sheetViews>
  <sheetFormatPr defaultRowHeight="14.5" x14ac:dyDescent="0.35"/>
  <cols>
    <col min="3" max="3" width="14.81640625" bestFit="1" customWidth="1"/>
    <col min="4" max="4" width="11.6328125" bestFit="1" customWidth="1"/>
  </cols>
  <sheetData>
    <row r="1" spans="1:11" x14ac:dyDescent="0.35">
      <c r="A1" t="s">
        <v>97</v>
      </c>
      <c r="B1" t="s">
        <v>103</v>
      </c>
      <c r="C1" t="s">
        <v>98</v>
      </c>
      <c r="D1" t="s">
        <v>104</v>
      </c>
      <c r="E1" t="s">
        <v>99</v>
      </c>
      <c r="F1" t="s">
        <v>105</v>
      </c>
      <c r="G1" t="s">
        <v>100</v>
      </c>
      <c r="H1" t="s">
        <v>101</v>
      </c>
      <c r="I1" t="s">
        <v>106</v>
      </c>
      <c r="J1" t="s">
        <v>102</v>
      </c>
      <c r="K1" t="s">
        <v>107</v>
      </c>
    </row>
    <row r="2" spans="1:11" x14ac:dyDescent="0.35">
      <c r="A2">
        <v>2000</v>
      </c>
      <c r="B2">
        <v>0</v>
      </c>
      <c r="C2">
        <v>0</v>
      </c>
      <c r="D2">
        <v>0</v>
      </c>
      <c r="E2">
        <v>0</v>
      </c>
      <c r="F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>
        <v>2001</v>
      </c>
      <c r="B3">
        <v>0</v>
      </c>
      <c r="C3">
        <v>0</v>
      </c>
      <c r="D3">
        <v>0</v>
      </c>
      <c r="E3">
        <v>0</v>
      </c>
      <c r="F3">
        <v>0</v>
      </c>
      <c r="H3">
        <v>0</v>
      </c>
      <c r="I3">
        <v>0</v>
      </c>
      <c r="J3">
        <v>0</v>
      </c>
      <c r="K3">
        <v>0</v>
      </c>
    </row>
    <row r="4" spans="1:11" x14ac:dyDescent="0.35">
      <c r="A4">
        <v>2002</v>
      </c>
      <c r="B4">
        <v>0</v>
      </c>
      <c r="C4">
        <v>0</v>
      </c>
      <c r="D4">
        <v>0</v>
      </c>
      <c r="E4">
        <v>0</v>
      </c>
      <c r="F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>
        <v>2003</v>
      </c>
      <c r="B5">
        <v>0</v>
      </c>
      <c r="C5">
        <v>0</v>
      </c>
      <c r="D5">
        <v>0</v>
      </c>
      <c r="E5">
        <v>0</v>
      </c>
      <c r="F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>
        <v>2004</v>
      </c>
      <c r="B6">
        <v>1</v>
      </c>
      <c r="C6">
        <v>0</v>
      </c>
      <c r="D6">
        <f>(100/B6)*C6</f>
        <v>0</v>
      </c>
      <c r="E6">
        <v>0</v>
      </c>
      <c r="F6">
        <v>0</v>
      </c>
      <c r="H6">
        <v>0</v>
      </c>
      <c r="I6">
        <v>0</v>
      </c>
      <c r="J6">
        <v>1</v>
      </c>
      <c r="K6">
        <f>(100/B6)*J6</f>
        <v>100</v>
      </c>
    </row>
    <row r="7" spans="1:11" x14ac:dyDescent="0.35">
      <c r="A7">
        <v>2005</v>
      </c>
      <c r="B7">
        <v>1</v>
      </c>
      <c r="C7">
        <v>0</v>
      </c>
      <c r="D7">
        <f t="shared" ref="D7:D27" si="0">(100/B7)*C7</f>
        <v>0</v>
      </c>
      <c r="E7">
        <v>0</v>
      </c>
      <c r="F7">
        <v>0</v>
      </c>
      <c r="H7">
        <v>0</v>
      </c>
      <c r="I7">
        <v>0</v>
      </c>
      <c r="J7">
        <v>1</v>
      </c>
      <c r="K7">
        <f t="shared" ref="K7:K27" si="1">(100/B7)*J7</f>
        <v>100</v>
      </c>
    </row>
    <row r="8" spans="1:11" x14ac:dyDescent="0.35">
      <c r="A8">
        <v>2006</v>
      </c>
      <c r="B8">
        <v>0</v>
      </c>
      <c r="C8">
        <v>0</v>
      </c>
      <c r="D8">
        <v>0</v>
      </c>
      <c r="E8">
        <v>0</v>
      </c>
      <c r="F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>
        <v>2007</v>
      </c>
      <c r="B9">
        <v>0</v>
      </c>
      <c r="C9">
        <v>0</v>
      </c>
      <c r="D9">
        <v>0</v>
      </c>
      <c r="E9">
        <v>0</v>
      </c>
      <c r="F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>
        <v>2008</v>
      </c>
      <c r="B10">
        <v>1</v>
      </c>
      <c r="C10">
        <v>0</v>
      </c>
      <c r="D10">
        <v>0</v>
      </c>
      <c r="E10">
        <v>0</v>
      </c>
      <c r="F10">
        <v>0</v>
      </c>
      <c r="H10">
        <v>0</v>
      </c>
      <c r="I10">
        <v>0</v>
      </c>
      <c r="J10">
        <v>1</v>
      </c>
      <c r="K10">
        <f t="shared" si="1"/>
        <v>100</v>
      </c>
    </row>
    <row r="11" spans="1:11" x14ac:dyDescent="0.35">
      <c r="A11">
        <v>2009</v>
      </c>
      <c r="B11">
        <v>0</v>
      </c>
      <c r="C11">
        <v>0</v>
      </c>
      <c r="D11">
        <v>0</v>
      </c>
      <c r="E11">
        <v>0</v>
      </c>
      <c r="F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>
        <v>2010</v>
      </c>
      <c r="B12">
        <v>2</v>
      </c>
      <c r="C12">
        <v>1</v>
      </c>
      <c r="D12">
        <f t="shared" si="0"/>
        <v>50</v>
      </c>
      <c r="E12">
        <v>1</v>
      </c>
      <c r="F12">
        <f>(100/B12)*E12</f>
        <v>50</v>
      </c>
      <c r="H12">
        <v>0</v>
      </c>
      <c r="I12">
        <v>0</v>
      </c>
      <c r="J12">
        <v>2</v>
      </c>
      <c r="K12">
        <f t="shared" si="1"/>
        <v>100</v>
      </c>
    </row>
    <row r="13" spans="1:11" x14ac:dyDescent="0.35">
      <c r="A13">
        <v>2011</v>
      </c>
      <c r="B13">
        <v>1</v>
      </c>
      <c r="C13">
        <v>1</v>
      </c>
      <c r="D13">
        <f t="shared" si="0"/>
        <v>100</v>
      </c>
      <c r="E13">
        <v>0</v>
      </c>
      <c r="F13">
        <f t="shared" ref="F13:F27" si="2">(100/B13)*E13</f>
        <v>0</v>
      </c>
      <c r="H13">
        <v>0</v>
      </c>
      <c r="I13">
        <v>0</v>
      </c>
      <c r="J13">
        <v>0</v>
      </c>
      <c r="K13">
        <f t="shared" si="1"/>
        <v>0</v>
      </c>
    </row>
    <row r="14" spans="1:11" x14ac:dyDescent="0.35">
      <c r="A14">
        <v>2012</v>
      </c>
      <c r="B14">
        <v>3</v>
      </c>
      <c r="C14">
        <v>1</v>
      </c>
      <c r="D14">
        <f t="shared" si="0"/>
        <v>33.333333333333336</v>
      </c>
      <c r="E14">
        <v>0</v>
      </c>
      <c r="F14">
        <f t="shared" si="2"/>
        <v>0</v>
      </c>
      <c r="H14">
        <v>0</v>
      </c>
      <c r="I14">
        <v>0</v>
      </c>
      <c r="J14">
        <v>1</v>
      </c>
      <c r="K14">
        <f t="shared" si="1"/>
        <v>33.333333333333336</v>
      </c>
    </row>
    <row r="15" spans="1:11" x14ac:dyDescent="0.35">
      <c r="A15">
        <v>2013</v>
      </c>
      <c r="B15">
        <v>5</v>
      </c>
      <c r="C15">
        <v>3</v>
      </c>
      <c r="D15">
        <f t="shared" si="0"/>
        <v>60</v>
      </c>
      <c r="E15">
        <v>2</v>
      </c>
      <c r="F15">
        <f t="shared" si="2"/>
        <v>40</v>
      </c>
      <c r="H15">
        <v>0</v>
      </c>
      <c r="I15">
        <v>0</v>
      </c>
      <c r="J15">
        <v>2</v>
      </c>
      <c r="K15">
        <f t="shared" si="1"/>
        <v>40</v>
      </c>
    </row>
    <row r="16" spans="1:11" x14ac:dyDescent="0.35">
      <c r="A16">
        <v>2014</v>
      </c>
      <c r="B16">
        <v>3</v>
      </c>
      <c r="C16">
        <v>2</v>
      </c>
      <c r="D16">
        <f t="shared" si="0"/>
        <v>66.666666666666671</v>
      </c>
      <c r="E16">
        <v>2</v>
      </c>
      <c r="F16">
        <f t="shared" si="2"/>
        <v>66.666666666666671</v>
      </c>
      <c r="H16">
        <v>1</v>
      </c>
      <c r="I16">
        <f>(100/B16)*H16</f>
        <v>33.333333333333336</v>
      </c>
      <c r="J16">
        <v>0</v>
      </c>
      <c r="K16">
        <f t="shared" si="1"/>
        <v>0</v>
      </c>
    </row>
    <row r="17" spans="1:11" x14ac:dyDescent="0.35">
      <c r="A17">
        <v>2015</v>
      </c>
      <c r="B17">
        <v>6</v>
      </c>
      <c r="C17">
        <v>3</v>
      </c>
      <c r="D17">
        <f t="shared" si="0"/>
        <v>50</v>
      </c>
      <c r="E17">
        <v>5</v>
      </c>
      <c r="F17">
        <f t="shared" si="2"/>
        <v>83.333333333333343</v>
      </c>
      <c r="H17">
        <v>0</v>
      </c>
      <c r="I17">
        <f t="shared" ref="I17:I26" si="3">(100/B17)*H17</f>
        <v>0</v>
      </c>
      <c r="J17">
        <v>4</v>
      </c>
      <c r="K17">
        <f t="shared" si="1"/>
        <v>66.666666666666671</v>
      </c>
    </row>
    <row r="18" spans="1:11" x14ac:dyDescent="0.35">
      <c r="A18">
        <v>2016</v>
      </c>
      <c r="B18">
        <v>4</v>
      </c>
      <c r="C18">
        <v>2</v>
      </c>
      <c r="D18">
        <f t="shared" si="0"/>
        <v>50</v>
      </c>
      <c r="E18">
        <v>2</v>
      </c>
      <c r="F18">
        <f t="shared" si="2"/>
        <v>50</v>
      </c>
      <c r="H18">
        <v>1</v>
      </c>
      <c r="I18">
        <f t="shared" si="3"/>
        <v>25</v>
      </c>
      <c r="J18">
        <v>3</v>
      </c>
      <c r="K18">
        <f t="shared" si="1"/>
        <v>75</v>
      </c>
    </row>
    <row r="19" spans="1:11" x14ac:dyDescent="0.35">
      <c r="A19">
        <v>2017</v>
      </c>
      <c r="B19">
        <v>5</v>
      </c>
      <c r="C19">
        <v>0</v>
      </c>
      <c r="D19">
        <f t="shared" si="0"/>
        <v>0</v>
      </c>
      <c r="E19">
        <v>1</v>
      </c>
      <c r="F19">
        <f t="shared" si="2"/>
        <v>20</v>
      </c>
      <c r="H19">
        <v>0</v>
      </c>
      <c r="I19">
        <f t="shared" si="3"/>
        <v>0</v>
      </c>
      <c r="J19">
        <v>2</v>
      </c>
      <c r="K19">
        <f t="shared" si="1"/>
        <v>40</v>
      </c>
    </row>
    <row r="20" spans="1:11" x14ac:dyDescent="0.35">
      <c r="A20">
        <v>2018</v>
      </c>
      <c r="B20">
        <v>8</v>
      </c>
      <c r="C20">
        <v>3</v>
      </c>
      <c r="D20">
        <f t="shared" si="0"/>
        <v>37.5</v>
      </c>
      <c r="E20">
        <v>6</v>
      </c>
      <c r="F20">
        <f t="shared" si="2"/>
        <v>75</v>
      </c>
      <c r="H20">
        <v>2</v>
      </c>
      <c r="I20">
        <f t="shared" si="3"/>
        <v>25</v>
      </c>
      <c r="J20">
        <v>6</v>
      </c>
      <c r="K20">
        <f t="shared" si="1"/>
        <v>75</v>
      </c>
    </row>
    <row r="21" spans="1:11" x14ac:dyDescent="0.35">
      <c r="A21">
        <v>2019</v>
      </c>
      <c r="B21">
        <v>5</v>
      </c>
      <c r="C21">
        <v>0</v>
      </c>
      <c r="D21">
        <f t="shared" si="0"/>
        <v>0</v>
      </c>
      <c r="E21">
        <v>0</v>
      </c>
      <c r="F21">
        <f t="shared" si="2"/>
        <v>0</v>
      </c>
      <c r="H21">
        <v>0</v>
      </c>
      <c r="I21">
        <f t="shared" si="3"/>
        <v>0</v>
      </c>
      <c r="J21">
        <v>3</v>
      </c>
      <c r="K21">
        <f t="shared" si="1"/>
        <v>60</v>
      </c>
    </row>
    <row r="22" spans="1:11" x14ac:dyDescent="0.35">
      <c r="A22">
        <v>2020</v>
      </c>
      <c r="B22">
        <v>15</v>
      </c>
      <c r="C22">
        <v>7</v>
      </c>
      <c r="D22">
        <f t="shared" si="0"/>
        <v>46.666666666666671</v>
      </c>
      <c r="E22">
        <v>8</v>
      </c>
      <c r="F22">
        <f t="shared" si="2"/>
        <v>53.333333333333336</v>
      </c>
      <c r="H22">
        <v>1</v>
      </c>
      <c r="I22">
        <f t="shared" si="3"/>
        <v>6.666666666666667</v>
      </c>
      <c r="J22">
        <v>6</v>
      </c>
      <c r="K22">
        <f t="shared" si="1"/>
        <v>40</v>
      </c>
    </row>
    <row r="23" spans="1:11" x14ac:dyDescent="0.35">
      <c r="A23">
        <v>2021</v>
      </c>
      <c r="B23">
        <v>13</v>
      </c>
      <c r="C23">
        <v>8</v>
      </c>
      <c r="D23">
        <f t="shared" si="0"/>
        <v>61.53846153846154</v>
      </c>
      <c r="E23">
        <v>7</v>
      </c>
      <c r="F23">
        <f t="shared" si="2"/>
        <v>53.846153846153847</v>
      </c>
      <c r="H23">
        <v>0</v>
      </c>
      <c r="I23">
        <f t="shared" si="3"/>
        <v>0</v>
      </c>
      <c r="J23">
        <v>8</v>
      </c>
      <c r="K23">
        <f t="shared" si="1"/>
        <v>61.53846153846154</v>
      </c>
    </row>
    <row r="24" spans="1:11" x14ac:dyDescent="0.35">
      <c r="A24">
        <v>2022</v>
      </c>
      <c r="B24">
        <v>13</v>
      </c>
      <c r="C24">
        <v>7</v>
      </c>
      <c r="D24">
        <f t="shared" si="0"/>
        <v>53.846153846153847</v>
      </c>
      <c r="E24">
        <v>5</v>
      </c>
      <c r="F24">
        <f t="shared" si="2"/>
        <v>38.46153846153846</v>
      </c>
      <c r="H24">
        <v>2</v>
      </c>
      <c r="I24">
        <f t="shared" si="3"/>
        <v>15.384615384615385</v>
      </c>
      <c r="J24">
        <v>9</v>
      </c>
      <c r="K24">
        <f t="shared" si="1"/>
        <v>69.230769230769226</v>
      </c>
    </row>
    <row r="25" spans="1:11" x14ac:dyDescent="0.35">
      <c r="A25">
        <v>2023</v>
      </c>
      <c r="B25">
        <v>16</v>
      </c>
      <c r="C25">
        <v>9</v>
      </c>
      <c r="D25">
        <f t="shared" si="0"/>
        <v>56.25</v>
      </c>
      <c r="E25">
        <v>8</v>
      </c>
      <c r="F25">
        <f t="shared" si="2"/>
        <v>50</v>
      </c>
      <c r="H25">
        <v>3</v>
      </c>
      <c r="I25">
        <f t="shared" si="3"/>
        <v>18.75</v>
      </c>
      <c r="J25">
        <v>10</v>
      </c>
      <c r="K25">
        <f t="shared" si="1"/>
        <v>62.5</v>
      </c>
    </row>
    <row r="26" spans="1:11" x14ac:dyDescent="0.35">
      <c r="A26">
        <v>2024</v>
      </c>
      <c r="B26">
        <v>15</v>
      </c>
      <c r="C26">
        <v>6</v>
      </c>
      <c r="D26">
        <f t="shared" si="0"/>
        <v>40</v>
      </c>
      <c r="E26">
        <v>8</v>
      </c>
      <c r="F26">
        <f t="shared" si="2"/>
        <v>53.333333333333336</v>
      </c>
      <c r="H26">
        <v>2</v>
      </c>
      <c r="I26">
        <f t="shared" si="3"/>
        <v>13.333333333333334</v>
      </c>
      <c r="J26">
        <v>11</v>
      </c>
      <c r="K26">
        <f t="shared" si="1"/>
        <v>73.333333333333343</v>
      </c>
    </row>
    <row r="27" spans="1:11" x14ac:dyDescent="0.35">
      <c r="A27">
        <v>2025</v>
      </c>
      <c r="B27">
        <v>9</v>
      </c>
      <c r="C27">
        <v>4</v>
      </c>
      <c r="D27">
        <f t="shared" si="0"/>
        <v>44.444444444444443</v>
      </c>
      <c r="E27">
        <v>4</v>
      </c>
      <c r="F27">
        <f t="shared" si="2"/>
        <v>44.444444444444443</v>
      </c>
      <c r="H27">
        <v>2</v>
      </c>
      <c r="I27">
        <f>(100/B27)*H27</f>
        <v>22.222222222222221</v>
      </c>
      <c r="J27">
        <v>4</v>
      </c>
      <c r="K27">
        <f t="shared" si="1"/>
        <v>44.444444444444443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AD98-4AC5-4F3C-982C-FB55271D0CBA}">
  <sheetPr>
    <tabColor rgb="FF0EBE40"/>
  </sheetPr>
  <dimension ref="A1:B13"/>
  <sheetViews>
    <sheetView workbookViewId="0">
      <selection activeCell="B22" sqref="B22"/>
    </sheetView>
  </sheetViews>
  <sheetFormatPr defaultRowHeight="14.5" x14ac:dyDescent="0.35"/>
  <cols>
    <col min="1" max="1" width="14.54296875" customWidth="1"/>
  </cols>
  <sheetData>
    <row r="1" spans="1:2" x14ac:dyDescent="0.35">
      <c r="A1" t="s">
        <v>12</v>
      </c>
      <c r="B1" t="s">
        <v>11</v>
      </c>
    </row>
    <row r="2" spans="1:2" ht="29" x14ac:dyDescent="0.35">
      <c r="A2" s="2" t="s">
        <v>23</v>
      </c>
      <c r="B2">
        <v>58</v>
      </c>
    </row>
    <row r="3" spans="1:2" ht="72.5" x14ac:dyDescent="0.35">
      <c r="A3" s="2" t="s">
        <v>13</v>
      </c>
      <c r="B3">
        <v>20</v>
      </c>
    </row>
    <row r="4" spans="1:2" ht="29" x14ac:dyDescent="0.35">
      <c r="A4" s="2" t="s">
        <v>17</v>
      </c>
      <c r="B4">
        <v>10</v>
      </c>
    </row>
    <row r="5" spans="1:2" ht="29" x14ac:dyDescent="0.35">
      <c r="A5" s="2" t="s">
        <v>20</v>
      </c>
      <c r="B5">
        <v>7</v>
      </c>
    </row>
    <row r="6" spans="1:2" ht="29" x14ac:dyDescent="0.35">
      <c r="A6" s="2" t="s">
        <v>15</v>
      </c>
      <c r="B6">
        <v>16</v>
      </c>
    </row>
    <row r="7" spans="1:2" x14ac:dyDescent="0.35">
      <c r="A7" s="2" t="s">
        <v>21</v>
      </c>
      <c r="B7">
        <v>0</v>
      </c>
    </row>
    <row r="8" spans="1:2" x14ac:dyDescent="0.35">
      <c r="A8" s="2" t="s">
        <v>19</v>
      </c>
      <c r="B8">
        <v>0</v>
      </c>
    </row>
    <row r="9" spans="1:2" x14ac:dyDescent="0.35">
      <c r="A9" s="2" t="s">
        <v>18</v>
      </c>
      <c r="B9">
        <v>1</v>
      </c>
    </row>
    <row r="10" spans="1:2" x14ac:dyDescent="0.35">
      <c r="A10" s="2" t="s">
        <v>14</v>
      </c>
      <c r="B10">
        <v>3</v>
      </c>
    </row>
    <row r="11" spans="1:2" ht="29" x14ac:dyDescent="0.35">
      <c r="A11" s="2" t="s">
        <v>26</v>
      </c>
      <c r="B11">
        <v>2</v>
      </c>
    </row>
    <row r="12" spans="1:2" x14ac:dyDescent="0.35">
      <c r="A12" s="2" t="s">
        <v>16</v>
      </c>
      <c r="B12">
        <v>7</v>
      </c>
    </row>
    <row r="13" spans="1:2" ht="29" x14ac:dyDescent="0.35">
      <c r="A13" s="2" t="s">
        <v>22</v>
      </c>
      <c r="B1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0438-CCE6-46B5-A57D-9397E542E99A}">
  <sheetPr>
    <tabColor rgb="FF0EBE40"/>
  </sheetPr>
  <dimension ref="A1:M25"/>
  <sheetViews>
    <sheetView zoomScaleNormal="100" workbookViewId="0">
      <selection activeCell="G24" sqref="G24"/>
    </sheetView>
  </sheetViews>
  <sheetFormatPr defaultRowHeight="14.5" x14ac:dyDescent="0.35"/>
  <sheetData>
    <row r="1" spans="1:13" x14ac:dyDescent="0.35">
      <c r="A1" t="s">
        <v>0</v>
      </c>
      <c r="B1" t="s">
        <v>23</v>
      </c>
      <c r="C1" t="s">
        <v>13</v>
      </c>
      <c r="D1" t="s">
        <v>17</v>
      </c>
      <c r="E1" t="s">
        <v>20</v>
      </c>
      <c r="F1" t="s">
        <v>28</v>
      </c>
      <c r="G1" t="s">
        <v>25</v>
      </c>
      <c r="H1" t="s">
        <v>19</v>
      </c>
      <c r="I1" t="s">
        <v>24</v>
      </c>
      <c r="J1" s="2" t="s">
        <v>14</v>
      </c>
      <c r="K1" t="s">
        <v>26</v>
      </c>
      <c r="L1" t="s">
        <v>16</v>
      </c>
      <c r="M1" t="s">
        <v>22</v>
      </c>
    </row>
    <row r="2" spans="1:13" x14ac:dyDescent="0.35">
      <c r="A2" s="1" t="s">
        <v>1</v>
      </c>
      <c r="B2">
        <v>13</v>
      </c>
      <c r="C2">
        <v>1</v>
      </c>
      <c r="D2">
        <v>1</v>
      </c>
      <c r="E2">
        <v>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35">
      <c r="A3" s="1" t="s">
        <v>2</v>
      </c>
      <c r="B3">
        <v>18</v>
      </c>
      <c r="C3">
        <v>1</v>
      </c>
      <c r="D3">
        <v>3</v>
      </c>
      <c r="E3">
        <v>3</v>
      </c>
      <c r="F3">
        <v>3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</row>
    <row r="4" spans="1:13" x14ac:dyDescent="0.35">
      <c r="A4" s="1" t="s">
        <v>3</v>
      </c>
      <c r="B4">
        <v>12</v>
      </c>
      <c r="C4">
        <v>3</v>
      </c>
      <c r="D4">
        <v>0</v>
      </c>
      <c r="E4">
        <v>0</v>
      </c>
      <c r="F4">
        <v>8</v>
      </c>
      <c r="G4">
        <v>0</v>
      </c>
      <c r="H4">
        <v>0</v>
      </c>
      <c r="I4">
        <v>0</v>
      </c>
      <c r="J4">
        <v>1</v>
      </c>
      <c r="K4">
        <v>0</v>
      </c>
      <c r="L4">
        <v>5</v>
      </c>
      <c r="M4">
        <v>0</v>
      </c>
    </row>
    <row r="5" spans="1:13" ht="29" x14ac:dyDescent="0.35">
      <c r="A5" s="1" t="s">
        <v>4</v>
      </c>
      <c r="B5">
        <v>4</v>
      </c>
      <c r="C5">
        <v>11</v>
      </c>
      <c r="D5">
        <v>3</v>
      </c>
      <c r="E5">
        <v>3</v>
      </c>
      <c r="F5">
        <v>4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</row>
    <row r="6" spans="1:13" ht="58" x14ac:dyDescent="0.35">
      <c r="A6" s="1" t="s">
        <v>5</v>
      </c>
      <c r="B6">
        <v>4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ht="29" x14ac:dyDescent="0.35">
      <c r="A7" s="1" t="s">
        <v>6</v>
      </c>
      <c r="B7">
        <v>3</v>
      </c>
      <c r="C7">
        <v>1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ht="29" x14ac:dyDescent="0.35">
      <c r="A8" s="1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</row>
    <row r="9" spans="1:13" ht="29" x14ac:dyDescent="0.35">
      <c r="A9" s="1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</row>
    <row r="10" spans="1:13" ht="29" x14ac:dyDescent="0.35">
      <c r="A10" s="1" t="s">
        <v>27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35">
      <c r="A11" s="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ht="29" x14ac:dyDescent="0.35">
      <c r="A12" s="1" t="s">
        <v>10</v>
      </c>
      <c r="B12">
        <v>4</v>
      </c>
      <c r="C12">
        <v>3</v>
      </c>
      <c r="D12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</row>
    <row r="14" spans="1:13" x14ac:dyDescent="0.35">
      <c r="J14" s="2"/>
    </row>
    <row r="15" spans="1:13" x14ac:dyDescent="0.35">
      <c r="A15" s="2"/>
    </row>
    <row r="16" spans="1:13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B6F8-BAD3-4602-9BA1-236554CD8167}">
  <sheetPr>
    <tabColor rgb="FF0EBE40"/>
  </sheetPr>
  <dimension ref="A1:B5"/>
  <sheetViews>
    <sheetView workbookViewId="0">
      <selection activeCell="K9" sqref="K9"/>
    </sheetView>
  </sheetViews>
  <sheetFormatPr defaultRowHeight="14.5" x14ac:dyDescent="0.35"/>
  <cols>
    <col min="1" max="1" width="14.54296875" customWidth="1"/>
  </cols>
  <sheetData>
    <row r="1" spans="1:2" x14ac:dyDescent="0.35">
      <c r="A1" t="s">
        <v>29</v>
      </c>
      <c r="B1" t="s">
        <v>11</v>
      </c>
    </row>
    <row r="2" spans="1:2" ht="29" x14ac:dyDescent="0.35">
      <c r="A2" s="2" t="s">
        <v>30</v>
      </c>
      <c r="B2">
        <v>47</v>
      </c>
    </row>
    <row r="3" spans="1:2" ht="29" x14ac:dyDescent="0.35">
      <c r="A3" s="2" t="s">
        <v>31</v>
      </c>
      <c r="B3">
        <v>57</v>
      </c>
    </row>
    <row r="4" spans="1:2" x14ac:dyDescent="0.35">
      <c r="A4" s="2" t="s">
        <v>32</v>
      </c>
      <c r="B4">
        <v>15</v>
      </c>
    </row>
    <row r="5" spans="1:2" ht="29" x14ac:dyDescent="0.35">
      <c r="A5" s="2" t="s">
        <v>33</v>
      </c>
      <c r="B5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73422-4941-4CA2-8410-F93110B599B3}">
  <sheetPr>
    <tabColor rgb="FF0EBE40"/>
  </sheetPr>
  <dimension ref="A1:E9"/>
  <sheetViews>
    <sheetView workbookViewId="0">
      <selection activeCell="D17" sqref="D17"/>
    </sheetView>
  </sheetViews>
  <sheetFormatPr defaultRowHeight="14.5" x14ac:dyDescent="0.35"/>
  <cols>
    <col min="1" max="1" width="18.54296875" customWidth="1"/>
    <col min="2" max="2" width="9.90625" bestFit="1" customWidth="1"/>
    <col min="3" max="3" width="9.90625" customWidth="1"/>
    <col min="4" max="4" width="20.453125" bestFit="1" customWidth="1"/>
  </cols>
  <sheetData>
    <row r="1" spans="1:5" x14ac:dyDescent="0.35">
      <c r="A1" t="s">
        <v>34</v>
      </c>
      <c r="B1" t="s">
        <v>43</v>
      </c>
      <c r="C1" t="s">
        <v>61</v>
      </c>
      <c r="D1" t="s">
        <v>37</v>
      </c>
      <c r="E1" t="s">
        <v>44</v>
      </c>
    </row>
    <row r="2" spans="1:5" x14ac:dyDescent="0.35">
      <c r="A2" s="2" t="s">
        <v>35</v>
      </c>
      <c r="B2">
        <v>20</v>
      </c>
      <c r="D2">
        <v>0</v>
      </c>
      <c r="E2">
        <v>0</v>
      </c>
    </row>
    <row r="3" spans="1:5" x14ac:dyDescent="0.35">
      <c r="A3" s="2" t="s">
        <v>36</v>
      </c>
      <c r="B3">
        <v>0</v>
      </c>
      <c r="C3">
        <v>29</v>
      </c>
      <c r="D3">
        <v>29</v>
      </c>
      <c r="E3">
        <v>22</v>
      </c>
    </row>
    <row r="4" spans="1:5" x14ac:dyDescent="0.35">
      <c r="A4" s="2" t="s">
        <v>38</v>
      </c>
      <c r="B4">
        <v>5</v>
      </c>
      <c r="D4">
        <v>0</v>
      </c>
      <c r="E4">
        <v>0</v>
      </c>
    </row>
    <row r="5" spans="1:5" x14ac:dyDescent="0.35">
      <c r="A5" s="2" t="s">
        <v>39</v>
      </c>
      <c r="B5">
        <v>23</v>
      </c>
      <c r="D5">
        <v>0</v>
      </c>
      <c r="E5">
        <v>0</v>
      </c>
    </row>
    <row r="6" spans="1:5" x14ac:dyDescent="0.35">
      <c r="A6" s="2" t="s">
        <v>40</v>
      </c>
      <c r="B6">
        <v>8</v>
      </c>
      <c r="D6">
        <v>0</v>
      </c>
      <c r="E6">
        <v>0</v>
      </c>
    </row>
    <row r="7" spans="1:5" ht="29" x14ac:dyDescent="0.35">
      <c r="A7" s="2" t="s">
        <v>41</v>
      </c>
      <c r="B7">
        <v>10</v>
      </c>
      <c r="D7">
        <v>0</v>
      </c>
      <c r="E7">
        <v>0</v>
      </c>
    </row>
    <row r="8" spans="1:5" ht="29" x14ac:dyDescent="0.35">
      <c r="A8" s="2" t="s">
        <v>42</v>
      </c>
      <c r="B8">
        <v>4</v>
      </c>
      <c r="D8">
        <v>0</v>
      </c>
      <c r="E8">
        <v>0</v>
      </c>
    </row>
    <row r="9" spans="1:5" x14ac:dyDescent="0.35">
      <c r="A9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C1A2A-99A4-4B45-AB75-63FDAF91AFEB}">
  <sheetPr>
    <tabColor rgb="FF0EBE40"/>
  </sheetPr>
  <dimension ref="A1:J26"/>
  <sheetViews>
    <sheetView zoomScale="81" workbookViewId="0">
      <selection activeCell="L37" sqref="L37"/>
    </sheetView>
  </sheetViews>
  <sheetFormatPr defaultRowHeight="14.5" x14ac:dyDescent="0.35"/>
  <cols>
    <col min="1" max="1" width="14.453125" customWidth="1"/>
    <col min="2" max="2" width="17.36328125" customWidth="1"/>
  </cols>
  <sheetData>
    <row r="1" spans="1:10" x14ac:dyDescent="0.35">
      <c r="A1" t="s">
        <v>49</v>
      </c>
      <c r="B1" t="s">
        <v>11</v>
      </c>
    </row>
    <row r="2" spans="1:10" x14ac:dyDescent="0.35">
      <c r="A2" s="2" t="s">
        <v>50</v>
      </c>
      <c r="B2">
        <v>77</v>
      </c>
    </row>
    <row r="3" spans="1:10" x14ac:dyDescent="0.35">
      <c r="A3" s="2" t="s">
        <v>51</v>
      </c>
      <c r="B3">
        <v>28</v>
      </c>
    </row>
    <row r="4" spans="1:10" ht="29" x14ac:dyDescent="0.35">
      <c r="A4" s="2" t="s">
        <v>52</v>
      </c>
      <c r="B4">
        <v>55</v>
      </c>
    </row>
    <row r="5" spans="1:10" x14ac:dyDescent="0.35">
      <c r="A5" s="2" t="s">
        <v>53</v>
      </c>
      <c r="B5">
        <v>18</v>
      </c>
    </row>
    <row r="6" spans="1:10" x14ac:dyDescent="0.35">
      <c r="A6" s="2" t="s">
        <v>19</v>
      </c>
      <c r="B6">
        <v>28</v>
      </c>
    </row>
    <row r="7" spans="1:10" x14ac:dyDescent="0.35">
      <c r="A7" s="2" t="s">
        <v>54</v>
      </c>
      <c r="B7">
        <v>24</v>
      </c>
    </row>
    <row r="8" spans="1:10" x14ac:dyDescent="0.35">
      <c r="A8" s="2" t="s">
        <v>55</v>
      </c>
      <c r="B8">
        <v>26</v>
      </c>
    </row>
    <row r="9" spans="1:10" ht="43.5" x14ac:dyDescent="0.35">
      <c r="A9" s="2" t="s">
        <v>72</v>
      </c>
      <c r="B9">
        <v>2</v>
      </c>
    </row>
    <row r="10" spans="1:10" x14ac:dyDescent="0.35">
      <c r="A10" s="2"/>
    </row>
    <row r="11" spans="1:10" x14ac:dyDescent="0.35">
      <c r="A11" s="2"/>
      <c r="J11" s="2"/>
    </row>
    <row r="12" spans="1:10" x14ac:dyDescent="0.35">
      <c r="A12" s="2"/>
    </row>
    <row r="13" spans="1:10" x14ac:dyDescent="0.35">
      <c r="A13" s="2"/>
    </row>
    <row r="14" spans="1:10" x14ac:dyDescent="0.35">
      <c r="A14" s="2"/>
    </row>
    <row r="15" spans="1:10" x14ac:dyDescent="0.35">
      <c r="A15" s="2"/>
    </row>
    <row r="16" spans="1:10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4E9B0-8B87-4E7E-BDBB-B4A358617C22}">
  <sheetPr>
    <tabColor rgb="FF0EBE40"/>
  </sheetPr>
  <dimension ref="A1:B11"/>
  <sheetViews>
    <sheetView zoomScale="115" zoomScaleNormal="115" workbookViewId="0">
      <selection activeCell="G8" sqref="G8"/>
    </sheetView>
  </sheetViews>
  <sheetFormatPr defaultRowHeight="14.5" x14ac:dyDescent="0.35"/>
  <cols>
    <col min="2" max="2" width="10.1796875" style="4" customWidth="1"/>
    <col min="8" max="8" width="16.26953125" customWidth="1"/>
  </cols>
  <sheetData>
    <row r="1" spans="1:2" x14ac:dyDescent="0.35">
      <c r="A1" t="s">
        <v>113</v>
      </c>
      <c r="B1" t="s">
        <v>63</v>
      </c>
    </row>
    <row r="2" spans="1:2" x14ac:dyDescent="0.35">
      <c r="A2">
        <v>1</v>
      </c>
      <c r="B2">
        <v>28</v>
      </c>
    </row>
    <row r="3" spans="1:2" x14ac:dyDescent="0.35">
      <c r="A3">
        <v>2</v>
      </c>
      <c r="B3">
        <v>28</v>
      </c>
    </row>
    <row r="4" spans="1:2" x14ac:dyDescent="0.35">
      <c r="A4">
        <v>3</v>
      </c>
      <c r="B4">
        <v>24</v>
      </c>
    </row>
    <row r="5" spans="1:2" x14ac:dyDescent="0.35">
      <c r="A5">
        <v>4</v>
      </c>
      <c r="B5">
        <v>18</v>
      </c>
    </row>
    <row r="6" spans="1:2" x14ac:dyDescent="0.35">
      <c r="A6">
        <v>5</v>
      </c>
      <c r="B6">
        <v>13</v>
      </c>
    </row>
    <row r="7" spans="1:2" x14ac:dyDescent="0.35">
      <c r="A7">
        <v>6</v>
      </c>
      <c r="B7">
        <v>9</v>
      </c>
    </row>
    <row r="8" spans="1:2" x14ac:dyDescent="0.35">
      <c r="A8">
        <v>7</v>
      </c>
      <c r="B8">
        <v>1</v>
      </c>
    </row>
    <row r="9" spans="1:2" x14ac:dyDescent="0.35">
      <c r="A9">
        <v>8</v>
      </c>
      <c r="B9">
        <v>3</v>
      </c>
    </row>
    <row r="10" spans="1:2" x14ac:dyDescent="0.35">
      <c r="A10">
        <v>9</v>
      </c>
      <c r="B10">
        <v>1</v>
      </c>
    </row>
    <row r="11" spans="1:2" x14ac:dyDescent="0.35">
      <c r="A11">
        <v>10</v>
      </c>
      <c r="B11">
        <v>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95DA4-F9CD-4009-955A-503ED7991D27}">
  <sheetPr>
    <tabColor rgb="FF0EBE40"/>
  </sheetPr>
  <dimension ref="A1:C7"/>
  <sheetViews>
    <sheetView workbookViewId="0">
      <selection activeCell="E3" sqref="E3"/>
    </sheetView>
  </sheetViews>
  <sheetFormatPr defaultRowHeight="14.5" x14ac:dyDescent="0.35"/>
  <cols>
    <col min="1" max="1" width="45.81640625" customWidth="1"/>
  </cols>
  <sheetData>
    <row r="1" spans="1:3" x14ac:dyDescent="0.35">
      <c r="A1" t="s">
        <v>110</v>
      </c>
      <c r="B1" t="s">
        <v>11</v>
      </c>
      <c r="C1" t="s">
        <v>62</v>
      </c>
    </row>
    <row r="2" spans="1:3" x14ac:dyDescent="0.35">
      <c r="A2" t="s">
        <v>71</v>
      </c>
      <c r="B2">
        <v>48</v>
      </c>
      <c r="C2">
        <f>(100/126)*B2</f>
        <v>38.095238095238095</v>
      </c>
    </row>
    <row r="3" spans="1:3" x14ac:dyDescent="0.35">
      <c r="A3" t="s">
        <v>68</v>
      </c>
      <c r="B3">
        <v>22</v>
      </c>
      <c r="C3">
        <f>(100/78)*B3</f>
        <v>28.205128205128208</v>
      </c>
    </row>
    <row r="4" spans="1:3" x14ac:dyDescent="0.35">
      <c r="A4" t="s">
        <v>35</v>
      </c>
      <c r="B4">
        <v>14</v>
      </c>
      <c r="C4">
        <f>(100/78)*B4</f>
        <v>17.948717948717949</v>
      </c>
    </row>
    <row r="5" spans="1:3" x14ac:dyDescent="0.35">
      <c r="A5" t="s">
        <v>36</v>
      </c>
      <c r="B5">
        <v>20</v>
      </c>
      <c r="C5">
        <f>(100/78)*B5</f>
        <v>25.641025641025642</v>
      </c>
    </row>
    <row r="6" spans="1:3" x14ac:dyDescent="0.35">
      <c r="A6" t="s">
        <v>114</v>
      </c>
      <c r="B6">
        <v>12</v>
      </c>
      <c r="C6">
        <f>(100/78)*B6</f>
        <v>15.384615384615387</v>
      </c>
    </row>
    <row r="7" spans="1:3" x14ac:dyDescent="0.35">
      <c r="A7" t="s">
        <v>60</v>
      </c>
      <c r="B7">
        <v>10</v>
      </c>
      <c r="C7">
        <f>(100/78)*B7</f>
        <v>12.820512820512821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98387-A0DD-4B0A-81EC-7C371DE32F91}">
  <sheetPr>
    <tabColor rgb="FF0EBE40"/>
  </sheetPr>
  <dimension ref="A1:C3"/>
  <sheetViews>
    <sheetView workbookViewId="0">
      <selection activeCell="G18" sqref="G18"/>
    </sheetView>
  </sheetViews>
  <sheetFormatPr defaultRowHeight="14.5" x14ac:dyDescent="0.35"/>
  <cols>
    <col min="1" max="1" width="17.81640625" bestFit="1" customWidth="1"/>
  </cols>
  <sheetData>
    <row r="1" spans="1:3" x14ac:dyDescent="0.35">
      <c r="A1" t="s">
        <v>111</v>
      </c>
      <c r="B1" t="s">
        <v>11</v>
      </c>
      <c r="C1" t="s">
        <v>62</v>
      </c>
    </row>
    <row r="2" spans="1:3" x14ac:dyDescent="0.35">
      <c r="A2" t="s">
        <v>74</v>
      </c>
      <c r="B2">
        <v>34</v>
      </c>
      <c r="C2">
        <f>(100/78)*B2</f>
        <v>43.589743589743591</v>
      </c>
    </row>
    <row r="3" spans="1:3" x14ac:dyDescent="0.35">
      <c r="A3" t="s">
        <v>75</v>
      </c>
      <c r="B3">
        <v>44</v>
      </c>
      <c r="C3">
        <f>(100/78)*B3</f>
        <v>56.410256410256416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76BBA-882E-4AEE-94F4-E8D2ABF11A01}">
  <sheetPr>
    <tabColor rgb="FF0EBE40"/>
  </sheetPr>
  <dimension ref="A1:C29"/>
  <sheetViews>
    <sheetView workbookViewId="0">
      <selection activeCell="C8" sqref="C8"/>
    </sheetView>
  </sheetViews>
  <sheetFormatPr defaultRowHeight="14.5" x14ac:dyDescent="0.35"/>
  <cols>
    <col min="1" max="1" width="15.26953125" customWidth="1"/>
  </cols>
  <sheetData>
    <row r="1" spans="1:3" x14ac:dyDescent="0.35">
      <c r="A1" t="s">
        <v>73</v>
      </c>
      <c r="B1" t="s">
        <v>11</v>
      </c>
      <c r="C1" t="s">
        <v>62</v>
      </c>
    </row>
    <row r="2" spans="1:3" x14ac:dyDescent="0.35">
      <c r="A2" t="s">
        <v>57</v>
      </c>
      <c r="B2">
        <v>82</v>
      </c>
      <c r="C2">
        <f>(100/126)*B2</f>
        <v>65.079365079365076</v>
      </c>
    </row>
    <row r="3" spans="1:3" x14ac:dyDescent="0.35">
      <c r="A3" t="s">
        <v>58</v>
      </c>
      <c r="B3">
        <v>56</v>
      </c>
      <c r="C3">
        <f>(100/126)*B3</f>
        <v>44.444444444444443</v>
      </c>
    </row>
    <row r="4" spans="1:3" x14ac:dyDescent="0.35">
      <c r="A4" t="s">
        <v>59</v>
      </c>
      <c r="B4">
        <v>59</v>
      </c>
      <c r="C4">
        <f>(100/126)*B4</f>
        <v>46.825396825396822</v>
      </c>
    </row>
    <row r="7" spans="1:3" x14ac:dyDescent="0.35">
      <c r="A7" s="2"/>
    </row>
    <row r="8" spans="1:3" x14ac:dyDescent="0.35">
      <c r="A8" s="2"/>
    </row>
    <row r="9" spans="1:3" x14ac:dyDescent="0.35">
      <c r="A9" s="2"/>
    </row>
    <row r="10" spans="1:3" x14ac:dyDescent="0.35">
      <c r="A10" s="2"/>
    </row>
    <row r="11" spans="1:3" x14ac:dyDescent="0.35">
      <c r="A11" s="2"/>
    </row>
    <row r="12" spans="1:3" x14ac:dyDescent="0.35">
      <c r="A12" s="2"/>
    </row>
    <row r="13" spans="1:3" x14ac:dyDescent="0.35">
      <c r="A13" s="2"/>
    </row>
    <row r="14" spans="1:3" x14ac:dyDescent="0.35">
      <c r="A14" s="2"/>
    </row>
    <row r="16" spans="1:3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AEE4-9C8E-443B-967D-ECD2A0829259}">
  <sheetPr>
    <tabColor rgb="FF0EBE40"/>
  </sheetPr>
  <dimension ref="A1:B3"/>
  <sheetViews>
    <sheetView workbookViewId="0">
      <selection activeCell="C8" sqref="C8"/>
    </sheetView>
  </sheetViews>
  <sheetFormatPr defaultRowHeight="14.5" x14ac:dyDescent="0.35"/>
  <cols>
    <col min="1" max="1" width="15.08984375" bestFit="1" customWidth="1"/>
  </cols>
  <sheetData>
    <row r="1" spans="1:2" x14ac:dyDescent="0.35">
      <c r="A1" t="s">
        <v>101</v>
      </c>
      <c r="B1" t="s">
        <v>11</v>
      </c>
    </row>
    <row r="2" spans="1:2" x14ac:dyDescent="0.35">
      <c r="A2" t="s">
        <v>69</v>
      </c>
      <c r="B2">
        <v>15</v>
      </c>
    </row>
    <row r="3" spans="1:2" x14ac:dyDescent="0.35">
      <c r="A3" t="s">
        <v>70</v>
      </c>
      <c r="B3">
        <v>111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BC45-A800-41D3-A8E6-11249A27140F}">
  <sheetPr>
    <tabColor rgb="FF0EBE40"/>
  </sheetPr>
  <dimension ref="A1:C4"/>
  <sheetViews>
    <sheetView workbookViewId="0">
      <selection activeCell="C8" sqref="C8"/>
    </sheetView>
  </sheetViews>
  <sheetFormatPr defaultRowHeight="14.5" x14ac:dyDescent="0.35"/>
  <sheetData>
    <row r="1" spans="1:3" x14ac:dyDescent="0.35">
      <c r="A1" t="s">
        <v>73</v>
      </c>
      <c r="B1" t="s">
        <v>69</v>
      </c>
      <c r="C1" t="s">
        <v>70</v>
      </c>
    </row>
    <row r="2" spans="1:3" x14ac:dyDescent="0.35">
      <c r="A2" t="s">
        <v>57</v>
      </c>
      <c r="B2">
        <v>9</v>
      </c>
      <c r="C2">
        <v>73</v>
      </c>
    </row>
    <row r="3" spans="1:3" x14ac:dyDescent="0.35">
      <c r="A3" t="s">
        <v>58</v>
      </c>
      <c r="B3">
        <v>5</v>
      </c>
      <c r="C3">
        <v>51</v>
      </c>
    </row>
    <row r="4" spans="1:3" x14ac:dyDescent="0.35">
      <c r="A4" t="s">
        <v>59</v>
      </c>
      <c r="B4">
        <v>14</v>
      </c>
      <c r="C4">
        <v>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2FA6D-1E12-4051-A8BD-54EAA27420A0}">
  <sheetPr>
    <tabColor rgb="FF0EBE40"/>
  </sheetPr>
  <dimension ref="A1:B4"/>
  <sheetViews>
    <sheetView workbookViewId="0">
      <selection activeCell="C8" sqref="C8"/>
    </sheetView>
  </sheetViews>
  <sheetFormatPr defaultRowHeight="14.5" x14ac:dyDescent="0.35"/>
  <cols>
    <col min="1" max="1" width="14.1796875" bestFit="1" customWidth="1"/>
  </cols>
  <sheetData>
    <row r="1" spans="1:2" x14ac:dyDescent="0.35">
      <c r="A1" t="s">
        <v>115</v>
      </c>
      <c r="B1" t="s">
        <v>11</v>
      </c>
    </row>
    <row r="2" spans="1:2" x14ac:dyDescent="0.35">
      <c r="A2" t="s">
        <v>112</v>
      </c>
      <c r="B2">
        <v>77</v>
      </c>
    </row>
    <row r="3" spans="1:2" x14ac:dyDescent="0.35">
      <c r="A3" t="s">
        <v>96</v>
      </c>
      <c r="B3">
        <v>45</v>
      </c>
    </row>
    <row r="4" spans="1:2" x14ac:dyDescent="0.35">
      <c r="A4" t="s">
        <v>60</v>
      </c>
      <c r="B4"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D0D6-B50D-423C-9D9E-45088C2C5AA1}">
  <sheetPr>
    <tabColor rgb="FF0EBE40"/>
  </sheetPr>
  <dimension ref="A1:E4"/>
  <sheetViews>
    <sheetView workbookViewId="0">
      <selection activeCell="C8" sqref="C8"/>
    </sheetView>
  </sheetViews>
  <sheetFormatPr defaultRowHeight="14.5" x14ac:dyDescent="0.35"/>
  <sheetData>
    <row r="1" spans="1:5" x14ac:dyDescent="0.35">
      <c r="A1" t="s">
        <v>120</v>
      </c>
      <c r="B1" t="s">
        <v>116</v>
      </c>
      <c r="C1" t="s">
        <v>117</v>
      </c>
      <c r="D1" t="s">
        <v>119</v>
      </c>
      <c r="E1" t="s">
        <v>118</v>
      </c>
    </row>
    <row r="2" spans="1:5" x14ac:dyDescent="0.35">
      <c r="A2" t="s">
        <v>57</v>
      </c>
      <c r="B2">
        <v>9</v>
      </c>
      <c r="C2">
        <v>6</v>
      </c>
      <c r="D2">
        <v>73</v>
      </c>
      <c r="E2">
        <v>38</v>
      </c>
    </row>
    <row r="3" spans="1:5" x14ac:dyDescent="0.35">
      <c r="A3" t="s">
        <v>58</v>
      </c>
      <c r="B3">
        <v>5</v>
      </c>
      <c r="C3">
        <v>10</v>
      </c>
      <c r="D3">
        <v>51</v>
      </c>
      <c r="E3">
        <v>60</v>
      </c>
    </row>
    <row r="4" spans="1:5" x14ac:dyDescent="0.35">
      <c r="A4" t="s">
        <v>59</v>
      </c>
      <c r="B4">
        <v>14</v>
      </c>
      <c r="C4">
        <v>1</v>
      </c>
      <c r="D4">
        <v>45</v>
      </c>
      <c r="E4">
        <v>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4FB8-1CC0-42F8-A4AD-390CB8B48544}">
  <sheetPr>
    <tabColor rgb="FF0EBE40"/>
  </sheetPr>
  <dimension ref="A1:D4"/>
  <sheetViews>
    <sheetView workbookViewId="0">
      <selection activeCell="C8" sqref="C8"/>
    </sheetView>
  </sheetViews>
  <sheetFormatPr defaultRowHeight="14.5" x14ac:dyDescent="0.35"/>
  <sheetData>
    <row r="1" spans="1:4" x14ac:dyDescent="0.35">
      <c r="A1" t="s">
        <v>73</v>
      </c>
      <c r="B1" t="s">
        <v>112</v>
      </c>
      <c r="C1" t="s">
        <v>96</v>
      </c>
      <c r="D1" t="s">
        <v>60</v>
      </c>
    </row>
    <row r="2" spans="1:4" x14ac:dyDescent="0.35">
      <c r="A2" t="s">
        <v>57</v>
      </c>
      <c r="B2">
        <v>43</v>
      </c>
      <c r="C2">
        <v>36</v>
      </c>
      <c r="D2">
        <v>3</v>
      </c>
    </row>
    <row r="3" spans="1:4" x14ac:dyDescent="0.35">
      <c r="A3" t="s">
        <v>58</v>
      </c>
      <c r="B3">
        <v>27</v>
      </c>
      <c r="C3">
        <v>27</v>
      </c>
      <c r="D3">
        <v>2</v>
      </c>
    </row>
    <row r="4" spans="1:4" x14ac:dyDescent="0.35">
      <c r="A4" t="s">
        <v>59</v>
      </c>
      <c r="B4">
        <v>38</v>
      </c>
      <c r="C4">
        <v>17</v>
      </c>
      <c r="D4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1B5FD-BE97-4499-BC7E-92A04F795C2B}">
  <dimension ref="A1:B9"/>
  <sheetViews>
    <sheetView workbookViewId="0">
      <selection activeCell="A31" sqref="A31"/>
    </sheetView>
  </sheetViews>
  <sheetFormatPr defaultRowHeight="14.5" x14ac:dyDescent="0.35"/>
  <cols>
    <col min="1" max="1" width="27.08984375" bestFit="1" customWidth="1"/>
    <col min="2" max="2" width="24.36328125" bestFit="1" customWidth="1"/>
    <col min="3" max="3" width="29.36328125" bestFit="1" customWidth="1"/>
    <col min="4" max="4" width="29.36328125" customWidth="1"/>
    <col min="5" max="5" width="39.453125" bestFit="1" customWidth="1"/>
  </cols>
  <sheetData>
    <row r="1" spans="1:2" x14ac:dyDescent="0.35">
      <c r="A1" t="s">
        <v>29</v>
      </c>
      <c r="B1" t="s">
        <v>108</v>
      </c>
    </row>
    <row r="2" spans="1:2" x14ac:dyDescent="0.35">
      <c r="A2" s="2" t="s">
        <v>30</v>
      </c>
      <c r="B2">
        <v>2.77</v>
      </c>
    </row>
    <row r="3" spans="1:2" x14ac:dyDescent="0.35">
      <c r="A3" s="2" t="s">
        <v>31</v>
      </c>
      <c r="B3">
        <v>3.39</v>
      </c>
    </row>
    <row r="4" spans="1:2" x14ac:dyDescent="0.35">
      <c r="A4" s="2" t="s">
        <v>32</v>
      </c>
      <c r="B4">
        <v>2.87</v>
      </c>
    </row>
    <row r="5" spans="1:2" x14ac:dyDescent="0.35">
      <c r="A5" s="2" t="s">
        <v>33</v>
      </c>
      <c r="B5">
        <v>3.43</v>
      </c>
    </row>
    <row r="7" spans="1:2" x14ac:dyDescent="0.35">
      <c r="A7" s="2" t="s">
        <v>109</v>
      </c>
    </row>
    <row r="8" spans="1:2" x14ac:dyDescent="0.35">
      <c r="A8" s="2" t="s">
        <v>64</v>
      </c>
      <c r="B8">
        <v>3.07</v>
      </c>
    </row>
    <row r="9" spans="1:2" x14ac:dyDescent="0.35">
      <c r="A9" s="2" t="s">
        <v>67</v>
      </c>
      <c r="B9">
        <v>3.11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5826A-0DDD-45FE-BAA4-A49F6EFB6698}">
  <dimension ref="A1:J13"/>
  <sheetViews>
    <sheetView zoomScale="115" zoomScaleNormal="115" workbookViewId="0">
      <selection activeCell="I10" sqref="I10"/>
    </sheetView>
  </sheetViews>
  <sheetFormatPr defaultRowHeight="14.5" x14ac:dyDescent="0.35"/>
  <cols>
    <col min="1" max="1" width="11.6328125" customWidth="1"/>
  </cols>
  <sheetData>
    <row r="1" spans="1:10" x14ac:dyDescent="0.35">
      <c r="A1" t="s">
        <v>12</v>
      </c>
      <c r="B1" t="s">
        <v>121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</row>
    <row r="2" spans="1:10" ht="29" x14ac:dyDescent="0.35">
      <c r="A2" s="2" t="s">
        <v>23</v>
      </c>
      <c r="B2">
        <v>14</v>
      </c>
      <c r="C2">
        <v>36</v>
      </c>
      <c r="D2">
        <v>5</v>
      </c>
      <c r="E2">
        <v>3</v>
      </c>
      <c r="F2">
        <f>SUM(B2:E2)</f>
        <v>58</v>
      </c>
      <c r="G2">
        <f>(100/F2)*B2</f>
        <v>24.137931034482758</v>
      </c>
      <c r="H2">
        <f>(100/F2)*C2</f>
        <v>62.068965517241374</v>
      </c>
      <c r="I2">
        <f>(100/F2)*D2</f>
        <v>8.6206896551724128</v>
      </c>
      <c r="J2">
        <f>(100/F2)*E2</f>
        <v>5.1724137931034484</v>
      </c>
    </row>
    <row r="3" spans="1:10" ht="43.5" x14ac:dyDescent="0.35">
      <c r="A3" s="2" t="s">
        <v>13</v>
      </c>
      <c r="B3">
        <v>9</v>
      </c>
      <c r="C3">
        <v>6</v>
      </c>
      <c r="D3">
        <v>5</v>
      </c>
      <c r="E3">
        <v>0</v>
      </c>
      <c r="F3">
        <f>SUM(B3:E3)</f>
        <v>20</v>
      </c>
      <c r="G3">
        <f>(100/F3)*B3</f>
        <v>45</v>
      </c>
      <c r="H3">
        <f t="shared" ref="H3:H13" si="0">(100/F3)*C3</f>
        <v>30</v>
      </c>
      <c r="I3">
        <f t="shared" ref="I3:I13" si="1">(100/F3)*D3</f>
        <v>25</v>
      </c>
      <c r="J3">
        <f t="shared" ref="J3:J13" si="2">(100/F3)*E3</f>
        <v>0</v>
      </c>
    </row>
    <row r="4" spans="1:10" ht="29" x14ac:dyDescent="0.35">
      <c r="A4" s="2" t="s">
        <v>17</v>
      </c>
      <c r="B4">
        <v>7</v>
      </c>
      <c r="C4">
        <v>3</v>
      </c>
      <c r="E4">
        <v>0</v>
      </c>
      <c r="F4">
        <f>SUM(B4:E4)</f>
        <v>10</v>
      </c>
      <c r="G4">
        <f>(100/F4)*B4</f>
        <v>70</v>
      </c>
      <c r="H4">
        <f t="shared" si="0"/>
        <v>30</v>
      </c>
      <c r="I4">
        <f t="shared" si="1"/>
        <v>0</v>
      </c>
      <c r="J4">
        <f t="shared" si="2"/>
        <v>0</v>
      </c>
    </row>
    <row r="5" spans="1:10" ht="29" x14ac:dyDescent="0.35">
      <c r="A5" s="2" t="s">
        <v>20</v>
      </c>
      <c r="B5">
        <v>3</v>
      </c>
      <c r="C5">
        <v>3</v>
      </c>
      <c r="D5">
        <v>1</v>
      </c>
      <c r="E5">
        <v>0</v>
      </c>
      <c r="F5">
        <f>SUM(B5:E5)</f>
        <v>7</v>
      </c>
      <c r="G5">
        <f>(100/F5)*B5</f>
        <v>42.857142857142861</v>
      </c>
      <c r="H5">
        <f t="shared" si="0"/>
        <v>42.857142857142861</v>
      </c>
      <c r="I5">
        <f t="shared" si="1"/>
        <v>14.285714285714286</v>
      </c>
      <c r="J5">
        <f t="shared" si="2"/>
        <v>0</v>
      </c>
    </row>
    <row r="6" spans="1:10" ht="43.5" x14ac:dyDescent="0.35">
      <c r="A6" s="2" t="s">
        <v>15</v>
      </c>
      <c r="B6">
        <v>9</v>
      </c>
      <c r="C6">
        <v>4</v>
      </c>
      <c r="D6">
        <v>2</v>
      </c>
      <c r="E6">
        <v>1</v>
      </c>
      <c r="F6">
        <f>SUM(B6:E6)</f>
        <v>16</v>
      </c>
      <c r="G6">
        <f>(100/F6)*B6</f>
        <v>56.25</v>
      </c>
      <c r="H6">
        <f t="shared" si="0"/>
        <v>25</v>
      </c>
      <c r="I6">
        <f t="shared" si="1"/>
        <v>12.5</v>
      </c>
      <c r="J6">
        <f t="shared" si="2"/>
        <v>6.25</v>
      </c>
    </row>
    <row r="7" spans="1:10" x14ac:dyDescent="0.35">
      <c r="A7" s="2" t="s">
        <v>21</v>
      </c>
      <c r="B7">
        <v>0</v>
      </c>
      <c r="C7">
        <v>0</v>
      </c>
      <c r="D7">
        <v>0</v>
      </c>
      <c r="E7">
        <v>0</v>
      </c>
      <c r="F7">
        <f>SUM(B7:E7)</f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 s="2" t="s">
        <v>19</v>
      </c>
      <c r="B8">
        <v>0</v>
      </c>
      <c r="C8">
        <v>0</v>
      </c>
      <c r="D8">
        <v>0</v>
      </c>
      <c r="E8">
        <v>0</v>
      </c>
      <c r="F8">
        <f>SUM(B8:E8)</f>
        <v>0</v>
      </c>
      <c r="G8">
        <v>0</v>
      </c>
      <c r="H8">
        <v>0</v>
      </c>
      <c r="I8">
        <v>0</v>
      </c>
      <c r="J8">
        <v>0</v>
      </c>
    </row>
    <row r="9" spans="1:10" x14ac:dyDescent="0.35">
      <c r="A9" s="2" t="s">
        <v>18</v>
      </c>
      <c r="B9">
        <v>0</v>
      </c>
      <c r="C9">
        <v>1</v>
      </c>
      <c r="D9">
        <v>0</v>
      </c>
      <c r="E9">
        <v>0</v>
      </c>
      <c r="F9">
        <f>SUM(B9:E9)</f>
        <v>1</v>
      </c>
      <c r="G9">
        <f>(100/F9)*B9</f>
        <v>0</v>
      </c>
      <c r="H9">
        <f t="shared" si="0"/>
        <v>100</v>
      </c>
      <c r="I9">
        <f t="shared" si="1"/>
        <v>0</v>
      </c>
      <c r="J9">
        <f t="shared" si="2"/>
        <v>0</v>
      </c>
    </row>
    <row r="10" spans="1:10" x14ac:dyDescent="0.35">
      <c r="A10" s="2" t="s">
        <v>14</v>
      </c>
      <c r="B10">
        <v>3</v>
      </c>
      <c r="C10">
        <v>0</v>
      </c>
      <c r="D10">
        <v>0</v>
      </c>
      <c r="E10">
        <v>0</v>
      </c>
      <c r="F10">
        <f>SUM(B10:E10)</f>
        <v>3</v>
      </c>
      <c r="G10">
        <f>(100/F10)*B10</f>
        <v>100</v>
      </c>
      <c r="H10">
        <f t="shared" si="0"/>
        <v>0</v>
      </c>
      <c r="I10">
        <f t="shared" si="1"/>
        <v>0</v>
      </c>
      <c r="J10">
        <f t="shared" si="2"/>
        <v>0</v>
      </c>
    </row>
    <row r="11" spans="1:10" ht="29" x14ac:dyDescent="0.35">
      <c r="A11" s="2" t="s">
        <v>26</v>
      </c>
      <c r="B11">
        <v>2</v>
      </c>
      <c r="C11">
        <v>0</v>
      </c>
      <c r="D11">
        <v>0</v>
      </c>
      <c r="E11">
        <v>0</v>
      </c>
      <c r="F11">
        <f>SUM(B11:E11)</f>
        <v>2</v>
      </c>
      <c r="G11">
        <f>(100/F11)*B11</f>
        <v>100</v>
      </c>
      <c r="H11">
        <f t="shared" si="0"/>
        <v>0</v>
      </c>
      <c r="I11">
        <f t="shared" si="1"/>
        <v>0</v>
      </c>
      <c r="J11">
        <f t="shared" si="2"/>
        <v>0</v>
      </c>
    </row>
    <row r="12" spans="1:10" x14ac:dyDescent="0.35">
      <c r="A12" s="2" t="s">
        <v>16</v>
      </c>
      <c r="B12">
        <v>0</v>
      </c>
      <c r="C12">
        <v>2</v>
      </c>
      <c r="D12">
        <v>2</v>
      </c>
      <c r="E12">
        <v>3</v>
      </c>
      <c r="F12">
        <f>SUM(B12:E12)</f>
        <v>7</v>
      </c>
      <c r="G12">
        <f>(100/F12)*B12</f>
        <v>0</v>
      </c>
      <c r="H12">
        <f t="shared" si="0"/>
        <v>28.571428571428573</v>
      </c>
      <c r="I12">
        <f t="shared" si="1"/>
        <v>28.571428571428573</v>
      </c>
      <c r="J12">
        <f t="shared" si="2"/>
        <v>42.857142857142861</v>
      </c>
    </row>
    <row r="13" spans="1:10" ht="29" x14ac:dyDescent="0.35">
      <c r="A13" s="2" t="s">
        <v>22</v>
      </c>
      <c r="B13">
        <v>0</v>
      </c>
      <c r="C13">
        <v>2</v>
      </c>
      <c r="D13">
        <v>0</v>
      </c>
      <c r="E13">
        <v>0</v>
      </c>
      <c r="F13">
        <f>SUM(B13:E13)</f>
        <v>2</v>
      </c>
      <c r="G13">
        <f>(100/F13)*B13</f>
        <v>0</v>
      </c>
      <c r="H13">
        <f t="shared" si="0"/>
        <v>100</v>
      </c>
      <c r="I13">
        <f t="shared" si="1"/>
        <v>0</v>
      </c>
      <c r="J13">
        <f t="shared" si="2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0A6A-C8FC-40E7-8ABE-EBFB452DD465}">
  <dimension ref="A1:M9"/>
  <sheetViews>
    <sheetView workbookViewId="0">
      <selection activeCell="C14" sqref="C14"/>
    </sheetView>
  </sheetViews>
  <sheetFormatPr defaultRowHeight="14.5" x14ac:dyDescent="0.35"/>
  <cols>
    <col min="1" max="1" width="11.36328125" customWidth="1"/>
    <col min="2" max="2" width="17.453125" customWidth="1"/>
  </cols>
  <sheetData>
    <row r="1" spans="1:13" x14ac:dyDescent="0.35">
      <c r="A1" s="2"/>
      <c r="B1" t="s">
        <v>23</v>
      </c>
      <c r="C1" t="s">
        <v>13</v>
      </c>
      <c r="D1" t="s">
        <v>17</v>
      </c>
      <c r="E1" t="s">
        <v>20</v>
      </c>
      <c r="F1" t="s">
        <v>28</v>
      </c>
      <c r="G1" t="s">
        <v>25</v>
      </c>
      <c r="H1" t="s">
        <v>19</v>
      </c>
      <c r="I1" t="s">
        <v>24</v>
      </c>
      <c r="J1" s="2" t="s">
        <v>14</v>
      </c>
      <c r="K1" t="s">
        <v>26</v>
      </c>
      <c r="L1" t="s">
        <v>16</v>
      </c>
      <c r="M1" t="s">
        <v>22</v>
      </c>
    </row>
    <row r="2" spans="1:13" ht="29" x14ac:dyDescent="0.35">
      <c r="A2" s="2" t="s">
        <v>50</v>
      </c>
      <c r="B2">
        <v>48</v>
      </c>
      <c r="C2">
        <v>4</v>
      </c>
      <c r="D2">
        <v>8</v>
      </c>
      <c r="E2">
        <v>3</v>
      </c>
      <c r="F2">
        <v>5</v>
      </c>
      <c r="G2">
        <v>2</v>
      </c>
      <c r="H2">
        <v>1</v>
      </c>
      <c r="I2">
        <v>0</v>
      </c>
      <c r="J2">
        <v>3</v>
      </c>
      <c r="K2">
        <v>2</v>
      </c>
      <c r="L2">
        <v>3</v>
      </c>
      <c r="M2">
        <v>2</v>
      </c>
    </row>
    <row r="3" spans="1:13" ht="29" x14ac:dyDescent="0.35">
      <c r="A3" s="2" t="s">
        <v>51</v>
      </c>
      <c r="B3">
        <v>16</v>
      </c>
      <c r="C3">
        <v>0</v>
      </c>
      <c r="D3">
        <v>6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0</v>
      </c>
      <c r="L3">
        <v>4</v>
      </c>
      <c r="M3">
        <v>0</v>
      </c>
    </row>
    <row r="4" spans="1:13" ht="43.5" x14ac:dyDescent="0.35">
      <c r="A4" s="2" t="s">
        <v>52</v>
      </c>
      <c r="B4">
        <v>13</v>
      </c>
      <c r="C4">
        <v>15</v>
      </c>
      <c r="D4">
        <v>7</v>
      </c>
      <c r="E4">
        <v>4</v>
      </c>
      <c r="F4">
        <v>14</v>
      </c>
      <c r="G4">
        <v>0</v>
      </c>
      <c r="H4">
        <v>0</v>
      </c>
      <c r="I4">
        <v>0</v>
      </c>
      <c r="J4">
        <v>1</v>
      </c>
      <c r="K4">
        <v>0</v>
      </c>
      <c r="L4">
        <v>2</v>
      </c>
      <c r="M4">
        <v>0</v>
      </c>
    </row>
    <row r="5" spans="1:13" ht="29" x14ac:dyDescent="0.35">
      <c r="A5" s="2" t="s">
        <v>53</v>
      </c>
      <c r="B5">
        <v>9</v>
      </c>
      <c r="C5">
        <v>7</v>
      </c>
      <c r="D5">
        <v>1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35">
      <c r="A6" s="2" t="s">
        <v>19</v>
      </c>
      <c r="B6">
        <v>14</v>
      </c>
      <c r="C6">
        <v>4</v>
      </c>
      <c r="D6">
        <v>2</v>
      </c>
      <c r="E6">
        <v>0</v>
      </c>
      <c r="F6">
        <v>5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  <c r="M6">
        <v>0</v>
      </c>
    </row>
    <row r="7" spans="1:13" ht="29" x14ac:dyDescent="0.35">
      <c r="A7" s="2" t="s">
        <v>54</v>
      </c>
      <c r="B7">
        <v>4</v>
      </c>
      <c r="C7">
        <v>10</v>
      </c>
      <c r="D7">
        <v>0</v>
      </c>
      <c r="E7">
        <v>4</v>
      </c>
      <c r="F7">
        <v>4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2</v>
      </c>
    </row>
    <row r="8" spans="1:13" x14ac:dyDescent="0.35">
      <c r="A8" s="2" t="s">
        <v>55</v>
      </c>
      <c r="B8">
        <v>13</v>
      </c>
      <c r="C8">
        <v>3</v>
      </c>
      <c r="D8">
        <v>6</v>
      </c>
      <c r="E8">
        <v>1</v>
      </c>
      <c r="F8">
        <v>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ht="58" x14ac:dyDescent="0.35">
      <c r="A9" s="2" t="s">
        <v>56</v>
      </c>
      <c r="B9">
        <v>2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0C9F-5E75-4C27-BC54-894BDB7B7771}">
  <dimension ref="A1:C5"/>
  <sheetViews>
    <sheetView workbookViewId="0">
      <selection activeCell="I9" sqref="I9"/>
    </sheetView>
  </sheetViews>
  <sheetFormatPr defaultRowHeight="14.5" x14ac:dyDescent="0.35"/>
  <sheetData>
    <row r="1" spans="1:3" x14ac:dyDescent="0.35">
      <c r="A1" t="s">
        <v>45</v>
      </c>
      <c r="B1" t="s">
        <v>11</v>
      </c>
      <c r="C1" t="s">
        <v>62</v>
      </c>
    </row>
    <row r="2" spans="1:3" x14ac:dyDescent="0.35">
      <c r="A2" t="s">
        <v>46</v>
      </c>
      <c r="B2">
        <v>25</v>
      </c>
      <c r="C2">
        <f>(100/B5)*B2</f>
        <v>19.841269841269842</v>
      </c>
    </row>
    <row r="3" spans="1:3" x14ac:dyDescent="0.35">
      <c r="A3" t="s">
        <v>47</v>
      </c>
      <c r="B3">
        <v>39</v>
      </c>
      <c r="C3">
        <f>(100/B5)*B3</f>
        <v>30.952380952380949</v>
      </c>
    </row>
    <row r="4" spans="1:3" x14ac:dyDescent="0.35">
      <c r="A4" t="s">
        <v>48</v>
      </c>
      <c r="B4">
        <v>62</v>
      </c>
      <c r="C4">
        <f>(100/B5)*B4</f>
        <v>49.206349206349202</v>
      </c>
    </row>
    <row r="5" spans="1:3" x14ac:dyDescent="0.35">
      <c r="B5">
        <f>SUM(B2:B4)</f>
        <v>126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00CA1-E12A-400E-BD9A-C1A927E1D1E7}">
  <dimension ref="A1:C3"/>
  <sheetViews>
    <sheetView workbookViewId="0">
      <selection activeCell="C24" sqref="C24"/>
    </sheetView>
  </sheetViews>
  <sheetFormatPr defaultRowHeight="14.5" x14ac:dyDescent="0.35"/>
  <cols>
    <col min="1" max="1" width="13.453125" bestFit="1" customWidth="1"/>
  </cols>
  <sheetData>
    <row r="1" spans="1:3" x14ac:dyDescent="0.35">
      <c r="A1" t="s">
        <v>66</v>
      </c>
      <c r="B1" t="s">
        <v>11</v>
      </c>
      <c r="C1" t="s">
        <v>62</v>
      </c>
    </row>
    <row r="2" spans="1:3" x14ac:dyDescent="0.35">
      <c r="A2" t="s">
        <v>64</v>
      </c>
      <c r="B2">
        <v>95</v>
      </c>
      <c r="C2">
        <f>(100/133)*B2</f>
        <v>71.428571428571431</v>
      </c>
    </row>
    <row r="3" spans="1:3" x14ac:dyDescent="0.35">
      <c r="A3" t="s">
        <v>65</v>
      </c>
      <c r="B3">
        <v>38</v>
      </c>
      <c r="C3">
        <f>(100/133)*B3</f>
        <v>28.571428571428569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85342-D26B-49F1-99C5-27E5270BE9B0}">
  <dimension ref="A1:H9"/>
  <sheetViews>
    <sheetView workbookViewId="0">
      <selection activeCell="J20" sqref="J20"/>
    </sheetView>
  </sheetViews>
  <sheetFormatPr defaultRowHeight="14.5" x14ac:dyDescent="0.35"/>
  <cols>
    <col min="1" max="1" width="17.7265625" bestFit="1" customWidth="1"/>
    <col min="2" max="2" width="2.81640625" bestFit="1" customWidth="1"/>
    <col min="4" max="4" width="10.90625" bestFit="1" customWidth="1"/>
    <col min="5" max="5" width="2.81640625" bestFit="1" customWidth="1"/>
    <col min="7" max="7" width="18.81640625" customWidth="1"/>
    <col min="8" max="8" width="5.26953125" customWidth="1"/>
  </cols>
  <sheetData>
    <row r="1" spans="1:8" x14ac:dyDescent="0.35">
      <c r="A1" t="s">
        <v>76</v>
      </c>
      <c r="D1" t="s">
        <v>57</v>
      </c>
      <c r="G1" s="2" t="s">
        <v>85</v>
      </c>
    </row>
    <row r="2" spans="1:8" ht="29" x14ac:dyDescent="0.35">
      <c r="A2" s="2" t="s">
        <v>77</v>
      </c>
      <c r="B2">
        <v>13</v>
      </c>
      <c r="D2" t="s">
        <v>9</v>
      </c>
      <c r="E2">
        <v>20</v>
      </c>
      <c r="G2" s="2" t="s">
        <v>86</v>
      </c>
      <c r="H2">
        <v>7</v>
      </c>
    </row>
    <row r="3" spans="1:8" ht="43.5" x14ac:dyDescent="0.35">
      <c r="A3" s="2" t="s">
        <v>78</v>
      </c>
      <c r="B3">
        <v>20</v>
      </c>
      <c r="D3" t="s">
        <v>92</v>
      </c>
      <c r="E3">
        <v>58</v>
      </c>
      <c r="G3" s="2" t="s">
        <v>89</v>
      </c>
      <c r="H3">
        <v>3</v>
      </c>
    </row>
    <row r="4" spans="1:8" ht="29" x14ac:dyDescent="0.35">
      <c r="A4" s="2" t="s">
        <v>79</v>
      </c>
      <c r="B4">
        <v>7</v>
      </c>
      <c r="D4" t="s">
        <v>94</v>
      </c>
      <c r="E4">
        <v>1</v>
      </c>
      <c r="G4" s="2" t="s">
        <v>87</v>
      </c>
      <c r="H4">
        <v>4</v>
      </c>
    </row>
    <row r="5" spans="1:8" ht="29" x14ac:dyDescent="0.35">
      <c r="A5" s="2" t="s">
        <v>80</v>
      </c>
      <c r="B5">
        <v>1</v>
      </c>
      <c r="D5" t="s">
        <v>95</v>
      </c>
      <c r="E5">
        <v>3</v>
      </c>
      <c r="G5" s="2" t="s">
        <v>88</v>
      </c>
      <c r="H5">
        <v>15</v>
      </c>
    </row>
    <row r="6" spans="1:8" x14ac:dyDescent="0.35">
      <c r="A6" s="2" t="s">
        <v>81</v>
      </c>
      <c r="B6">
        <v>14</v>
      </c>
      <c r="E6">
        <f>SUM(E2:E5)</f>
        <v>82</v>
      </c>
      <c r="G6" s="2" t="s">
        <v>60</v>
      </c>
      <c r="H6">
        <v>5</v>
      </c>
    </row>
    <row r="7" spans="1:8" ht="29" x14ac:dyDescent="0.35">
      <c r="A7" s="2" t="s">
        <v>82</v>
      </c>
      <c r="B7">
        <v>6</v>
      </c>
      <c r="G7" s="2" t="s">
        <v>90</v>
      </c>
      <c r="H7">
        <v>20</v>
      </c>
    </row>
    <row r="8" spans="1:8" ht="29" x14ac:dyDescent="0.35">
      <c r="A8" s="2" t="s">
        <v>83</v>
      </c>
      <c r="B8">
        <v>15</v>
      </c>
      <c r="G8" s="2" t="s">
        <v>91</v>
      </c>
      <c r="H8">
        <v>2</v>
      </c>
    </row>
    <row r="9" spans="1:8" x14ac:dyDescent="0.35">
      <c r="A9" s="2" t="s">
        <v>84</v>
      </c>
      <c r="B9">
        <v>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2F29E-AF2E-40AB-841B-6688AF8EE6F6}">
  <dimension ref="A1:E8"/>
  <sheetViews>
    <sheetView workbookViewId="0">
      <selection activeCell="F11" sqref="F11"/>
    </sheetView>
  </sheetViews>
  <sheetFormatPr defaultRowHeight="14.5" x14ac:dyDescent="0.35"/>
  <cols>
    <col min="1" max="1" width="10.7265625" customWidth="1"/>
    <col min="2" max="2" width="10.08984375" bestFit="1" customWidth="1"/>
    <col min="3" max="3" width="11" bestFit="1" customWidth="1"/>
    <col min="4" max="4" width="7.6328125" bestFit="1" customWidth="1"/>
    <col min="5" max="5" width="12" bestFit="1" customWidth="1"/>
  </cols>
  <sheetData>
    <row r="1" spans="1:5" ht="29" x14ac:dyDescent="0.35">
      <c r="A1" s="2" t="s">
        <v>85</v>
      </c>
      <c r="B1" s="6" t="s">
        <v>30</v>
      </c>
      <c r="C1" s="6" t="s">
        <v>31</v>
      </c>
      <c r="D1" s="6" t="s">
        <v>32</v>
      </c>
      <c r="E1" s="6" t="s">
        <v>33</v>
      </c>
    </row>
    <row r="2" spans="1:5" ht="29" x14ac:dyDescent="0.35">
      <c r="A2" s="2" t="s">
        <v>86</v>
      </c>
      <c r="B2">
        <v>1</v>
      </c>
      <c r="C2">
        <v>3</v>
      </c>
      <c r="D2">
        <v>2</v>
      </c>
      <c r="E2">
        <v>1</v>
      </c>
    </row>
    <row r="3" spans="1:5" ht="29" x14ac:dyDescent="0.35">
      <c r="A3" s="2" t="s">
        <v>89</v>
      </c>
      <c r="C3">
        <v>3</v>
      </c>
    </row>
    <row r="4" spans="1:5" ht="29" x14ac:dyDescent="0.35">
      <c r="A4" s="2" t="s">
        <v>87</v>
      </c>
      <c r="C4">
        <v>4</v>
      </c>
    </row>
    <row r="5" spans="1:5" x14ac:dyDescent="0.35">
      <c r="A5" s="2" t="s">
        <v>88</v>
      </c>
      <c r="B5">
        <v>4</v>
      </c>
      <c r="C5">
        <v>7</v>
      </c>
      <c r="D5">
        <v>4</v>
      </c>
    </row>
    <row r="6" spans="1:5" x14ac:dyDescent="0.35">
      <c r="A6" s="2" t="s">
        <v>60</v>
      </c>
      <c r="B6">
        <v>1</v>
      </c>
      <c r="C6">
        <v>3</v>
      </c>
      <c r="D6">
        <v>1</v>
      </c>
      <c r="E6">
        <v>0</v>
      </c>
    </row>
    <row r="7" spans="1:5" ht="29" x14ac:dyDescent="0.35">
      <c r="A7" s="2" t="s">
        <v>90</v>
      </c>
      <c r="B7">
        <v>8</v>
      </c>
      <c r="C7">
        <v>8</v>
      </c>
      <c r="D7">
        <v>3</v>
      </c>
      <c r="E7">
        <v>1</v>
      </c>
    </row>
    <row r="8" spans="1:5" x14ac:dyDescent="0.35">
      <c r="A8" s="2" t="s">
        <v>91</v>
      </c>
      <c r="B8">
        <v>1</v>
      </c>
      <c r="C8">
        <v>1</v>
      </c>
      <c r="D8">
        <v>0</v>
      </c>
      <c r="E8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eaeda8-c81d-45ce-863e-5232a535b7cb}" enabled="0" method="" siteId="{bdeaeda8-c81d-45ce-863e-5232a535b7c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Information</vt:lpstr>
      <vt:lpstr>Region</vt:lpstr>
      <vt:lpstr>Temporal analysis</vt:lpstr>
      <vt:lpstr>Sector</vt:lpstr>
      <vt:lpstr>Region sector</vt:lpstr>
      <vt:lpstr>Scale</vt:lpstr>
      <vt:lpstr>Climate risk</vt:lpstr>
      <vt:lpstr>Adaptation type</vt:lpstr>
      <vt:lpstr>Strategy count</vt:lpstr>
      <vt:lpstr>Scenarios</vt:lpstr>
      <vt:lpstr>Climate metric</vt:lpstr>
      <vt:lpstr>Evaluation</vt:lpstr>
      <vt:lpstr>Participatory methods</vt:lpstr>
      <vt:lpstr>PM and evaluation</vt:lpstr>
      <vt:lpstr>Decision method</vt:lpstr>
      <vt:lpstr>Fisher test</vt:lpstr>
      <vt:lpstr>Decision and evaluation</vt:lpstr>
      <vt:lpstr>Strategy count, scale, calib</vt:lpstr>
      <vt:lpstr>Scale + sector</vt:lpstr>
      <vt:lpstr>Type + Sector</vt:lpstr>
      <vt:lpstr>Adaptation timing</vt:lpstr>
      <vt:lpstr>Maladaptation</vt:lpstr>
      <vt:lpstr>Evaluation methods</vt:lpstr>
      <vt:lpstr>Calib + scale</vt:lpstr>
    </vt:vector>
  </TitlesOfParts>
  <Company>University of Leeds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 Williams</dc:creator>
  <cp:lastModifiedBy>Ruth Williams</cp:lastModifiedBy>
  <dcterms:created xsi:type="dcterms:W3CDTF">2026-03-02T10:32:16Z</dcterms:created>
  <dcterms:modified xsi:type="dcterms:W3CDTF">2026-10-28T10:19:42Z</dcterms:modified>
</cp:coreProperties>
</file>