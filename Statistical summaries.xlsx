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leeds365-my.sharepoint.com/personal/kbcf0548_leeds_ac_uk/Documents/PhD/Chapter 1- conceptual framework/Literature review/Manuscript edits/"/>
    </mc:Choice>
  </mc:AlternateContent>
  <xr:revisionPtr revIDLastSave="54" documentId="8_{66220906-6B40-4F39-8CAE-5123380EFA30}" xr6:coauthVersionLast="47" xr6:coauthVersionMax="47" xr10:uidLastSave="{FA064BC7-1FD6-4A6C-8392-572392E44695}"/>
  <bookViews>
    <workbookView xWindow="28680" yWindow="-120" windowWidth="29040" windowHeight="15720" firstSheet="17" activeTab="23" xr2:uid="{B6BDDB2A-9999-47CC-95BB-07D1ECB229BD}"/>
  </bookViews>
  <sheets>
    <sheet name="Information" sheetId="32" r:id="rId1"/>
    <sheet name="Region" sheetId="1" r:id="rId2"/>
    <sheet name="Temporal analysis" sheetId="21" r:id="rId3"/>
    <sheet name="Sector" sheetId="2" r:id="rId4"/>
    <sheet name="Region sector" sheetId="3" r:id="rId5"/>
    <sheet name="Scale" sheetId="4" r:id="rId6"/>
    <sheet name="Climate risk" sheetId="5" r:id="rId7"/>
    <sheet name="Adaptation type" sheetId="7" r:id="rId8"/>
    <sheet name="Strategy count" sheetId="9" r:id="rId9"/>
    <sheet name="Scenarios" sheetId="15" r:id="rId10"/>
    <sheet name="Climate metric" sheetId="19" r:id="rId11"/>
    <sheet name="Evaluation" sheetId="17" r:id="rId12"/>
    <sheet name="Participatory methods" sheetId="27" r:id="rId13"/>
    <sheet name="PM and evaluation" sheetId="28" r:id="rId14"/>
    <sheet name="Decision method" sheetId="29" r:id="rId15"/>
    <sheet name="Fisher test" sheetId="31" r:id="rId16"/>
    <sheet name="Decision and evaluation" sheetId="30" r:id="rId17"/>
    <sheet name="Strategy count, scale, calib" sheetId="22" r:id="rId18"/>
    <sheet name="Scale + sector" sheetId="23" r:id="rId19"/>
    <sheet name="Type + Sector" sheetId="18" r:id="rId20"/>
    <sheet name="Adaptation timing" sheetId="6" r:id="rId21"/>
    <sheet name="Maladaptation" sheetId="14" r:id="rId22"/>
    <sheet name="Evaluation methods" sheetId="26" r:id="rId23"/>
    <sheet name="Calib + scale" sheetId="25" r:id="rId2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5" i="6" l="1"/>
  <c r="C3" i="19"/>
  <c r="C2" i="19"/>
  <c r="C7" i="15"/>
  <c r="C6" i="15"/>
  <c r="C5" i="15"/>
  <c r="C4" i="15"/>
  <c r="C3" i="15"/>
  <c r="C2" i="15"/>
  <c r="E6" i="26"/>
  <c r="F7" i="23"/>
  <c r="F8" i="23"/>
  <c r="J27" i="21"/>
  <c r="J26" i="21"/>
  <c r="J25" i="21"/>
  <c r="J24" i="21"/>
  <c r="J23" i="21"/>
  <c r="J22" i="21"/>
  <c r="J21" i="21"/>
  <c r="J20" i="21"/>
  <c r="J19" i="21"/>
  <c r="J18" i="21"/>
  <c r="J17" i="21"/>
  <c r="J16" i="21"/>
  <c r="J14" i="21"/>
  <c r="J7" i="21"/>
  <c r="J10" i="21"/>
  <c r="J12" i="21"/>
  <c r="J13" i="21"/>
  <c r="J15" i="21"/>
  <c r="J6" i="21"/>
  <c r="H27" i="21"/>
  <c r="H17" i="21"/>
  <c r="H18" i="21"/>
  <c r="H19" i="21"/>
  <c r="H20" i="21"/>
  <c r="H21" i="21"/>
  <c r="H22" i="21"/>
  <c r="H23" i="21"/>
  <c r="H24" i="21"/>
  <c r="H25" i="21"/>
  <c r="H26" i="21"/>
  <c r="H16" i="21"/>
  <c r="F13" i="21"/>
  <c r="F14" i="21"/>
  <c r="F15" i="21"/>
  <c r="F16" i="21"/>
  <c r="F17" i="21"/>
  <c r="F18" i="21"/>
  <c r="F19" i="21"/>
  <c r="F20" i="21"/>
  <c r="F21" i="21"/>
  <c r="F22" i="21"/>
  <c r="F23" i="21"/>
  <c r="F24" i="21"/>
  <c r="F25" i="21"/>
  <c r="F26" i="21"/>
  <c r="F27" i="21"/>
  <c r="F12" i="21"/>
  <c r="D12" i="21"/>
  <c r="D13" i="21"/>
  <c r="D14" i="21"/>
  <c r="D15" i="21"/>
  <c r="D16" i="21"/>
  <c r="D17" i="21"/>
  <c r="D18" i="21"/>
  <c r="D19" i="21"/>
  <c r="D20" i="21"/>
  <c r="D21" i="21"/>
  <c r="D22" i="21"/>
  <c r="D23" i="21"/>
  <c r="D24" i="21"/>
  <c r="D25" i="21"/>
  <c r="D26" i="21"/>
  <c r="D27" i="21"/>
  <c r="D7" i="21"/>
  <c r="D6" i="21"/>
  <c r="C4" i="17"/>
  <c r="C2" i="17"/>
  <c r="C3" i="17"/>
  <c r="C3" i="14"/>
  <c r="C2" i="14"/>
  <c r="C4" i="6"/>
  <c r="C2" i="6" l="1"/>
  <c r="C3" i="6"/>
  <c r="F10" i="23"/>
  <c r="J10" i="23" s="1"/>
  <c r="F13" i="23"/>
  <c r="I13" i="23" s="1"/>
  <c r="F5" i="23"/>
  <c r="I5" i="23" s="1"/>
  <c r="F9" i="23"/>
  <c r="J9" i="23" s="1"/>
  <c r="I9" i="23"/>
  <c r="F2" i="23"/>
  <c r="J2" i="23" s="1"/>
  <c r="H2" i="23"/>
  <c r="F4" i="23"/>
  <c r="H4" i="23" s="1"/>
  <c r="F6" i="23"/>
  <c r="H6" i="23" s="1"/>
  <c r="I6" i="23"/>
  <c r="F12" i="23"/>
  <c r="H12" i="23" s="1"/>
  <c r="F11" i="23"/>
  <c r="J11" i="23" s="1"/>
  <c r="F3" i="23"/>
  <c r="H3" i="23" s="1"/>
  <c r="I3" i="23"/>
  <c r="J12" i="23" l="1"/>
  <c r="I12" i="23"/>
  <c r="I4" i="23"/>
  <c r="J13" i="23"/>
  <c r="H11" i="23"/>
  <c r="H10" i="23"/>
  <c r="J3" i="23"/>
  <c r="G11" i="23"/>
  <c r="J4" i="23"/>
  <c r="G5" i="23"/>
  <c r="I11" i="23"/>
  <c r="G4" i="23"/>
  <c r="J5" i="23"/>
  <c r="H5" i="23"/>
  <c r="G13" i="23"/>
  <c r="G2" i="23"/>
  <c r="H13" i="23"/>
  <c r="G12" i="23"/>
  <c r="I2" i="23"/>
  <c r="G10" i="23"/>
  <c r="G9" i="23"/>
  <c r="I10" i="23"/>
  <c r="G6" i="23"/>
  <c r="H9" i="23"/>
  <c r="G3" i="23"/>
  <c r="J6" i="23"/>
</calcChain>
</file>

<file path=xl/sharedStrings.xml><?xml version="1.0" encoding="utf-8"?>
<sst xmlns="http://schemas.openxmlformats.org/spreadsheetml/2006/main" count="244" uniqueCount="133">
  <si>
    <t>Region</t>
  </si>
  <si>
    <t>Africa</t>
  </si>
  <si>
    <t>Asia</t>
  </si>
  <si>
    <t>Europe</t>
  </si>
  <si>
    <t>North America</t>
  </si>
  <si>
    <t>Central and South America</t>
  </si>
  <si>
    <t>Australasia</t>
  </si>
  <si>
    <t>Small islands</t>
  </si>
  <si>
    <t>Global</t>
  </si>
  <si>
    <t>Theoretical</t>
  </si>
  <si>
    <t>Count</t>
  </si>
  <si>
    <t>Sector</t>
  </si>
  <si>
    <t>Coastal and ocean management</t>
  </si>
  <si>
    <t>Health</t>
  </si>
  <si>
    <t>Infrastructure and transport</t>
  </si>
  <si>
    <t>Tourism</t>
  </si>
  <si>
    <t>Water management</t>
  </si>
  <si>
    <t xml:space="preserve">Energy </t>
  </si>
  <si>
    <t>Finance</t>
  </si>
  <si>
    <t>Disaster risk management</t>
  </si>
  <si>
    <t xml:space="preserve">Industry </t>
  </si>
  <si>
    <t>Historical populations</t>
  </si>
  <si>
    <t>Agriculture and land use</t>
  </si>
  <si>
    <t>Energy</t>
  </si>
  <si>
    <t>Industry</t>
  </si>
  <si>
    <t>Indigenous Culture</t>
  </si>
  <si>
    <t>Multiple regions</t>
  </si>
  <si>
    <t xml:space="preserve">Infrastructure and transport </t>
  </si>
  <si>
    <t>Scale</t>
  </si>
  <si>
    <t>Community</t>
  </si>
  <si>
    <t>Sub-national</t>
  </si>
  <si>
    <t>National</t>
  </si>
  <si>
    <t>Multi-national</t>
  </si>
  <si>
    <t>Climate risk</t>
  </si>
  <si>
    <t>Temperature</t>
  </si>
  <si>
    <t>Precipitation</t>
  </si>
  <si>
    <t>Precipitation (drought)</t>
  </si>
  <si>
    <t>Storms</t>
  </si>
  <si>
    <t>Ocean and coastal</t>
  </si>
  <si>
    <t>Cryosphere</t>
  </si>
  <si>
    <t>Biophysical and ecological</t>
  </si>
  <si>
    <t>Theoretical climate hazard</t>
  </si>
  <si>
    <t>Base value</t>
  </si>
  <si>
    <t xml:space="preserve">Precipitation (flooding) </t>
  </si>
  <si>
    <t>Timing</t>
  </si>
  <si>
    <t>Proactive</t>
  </si>
  <si>
    <t>Reactive</t>
  </si>
  <si>
    <t xml:space="preserve">Both </t>
  </si>
  <si>
    <t>Adaptation type</t>
  </si>
  <si>
    <t>Behavioural</t>
  </si>
  <si>
    <t>Technology</t>
  </si>
  <si>
    <t>Physical infrastructure</t>
  </si>
  <si>
    <t>Nature-based</t>
  </si>
  <si>
    <t>Relocation</t>
  </si>
  <si>
    <t>Policy</t>
  </si>
  <si>
    <t>Sensitivity</t>
  </si>
  <si>
    <t>Calibration</t>
  </si>
  <si>
    <t>Validation</t>
  </si>
  <si>
    <t>Other</t>
  </si>
  <si>
    <t xml:space="preserve">Precipitation (variable) </t>
  </si>
  <si>
    <t>Percent</t>
  </si>
  <si>
    <t>Frequency</t>
  </si>
  <si>
    <t>Yes</t>
  </si>
  <si>
    <t xml:space="preserve">No </t>
  </si>
  <si>
    <t>Maladaptation</t>
  </si>
  <si>
    <t>No</t>
  </si>
  <si>
    <t>RCP or SSP</t>
  </si>
  <si>
    <t>Participatory</t>
  </si>
  <si>
    <t>Non-participatory</t>
  </si>
  <si>
    <t>None</t>
  </si>
  <si>
    <t xml:space="preserve">Warning or observing infrastructure </t>
  </si>
  <si>
    <t>Evaluation</t>
  </si>
  <si>
    <t>Average</t>
  </si>
  <si>
    <t>Extreme</t>
  </si>
  <si>
    <t>Validation methods</t>
  </si>
  <si>
    <t>Comparison to observations</t>
  </si>
  <si>
    <t>Comparison with secondary data</t>
  </si>
  <si>
    <t>Previous validation</t>
  </si>
  <si>
    <t>Comparison to other models</t>
  </si>
  <si>
    <t>Face validation</t>
  </si>
  <si>
    <t>With communities</t>
  </si>
  <si>
    <t xml:space="preserve">With stakeholders or policy makers </t>
  </si>
  <si>
    <t>Literature</t>
  </si>
  <si>
    <t>Calibration methods</t>
  </si>
  <si>
    <t xml:space="preserve">Pattern matching </t>
  </si>
  <si>
    <t xml:space="preserve">Previous calibration </t>
  </si>
  <si>
    <t>Survey</t>
  </si>
  <si>
    <t xml:space="preserve">Algorithm or statistics </t>
  </si>
  <si>
    <t>Secondary data</t>
  </si>
  <si>
    <t>Field data</t>
  </si>
  <si>
    <t>Local</t>
  </si>
  <si>
    <t>Arctic regions</t>
  </si>
  <si>
    <t>Unspecified</t>
  </si>
  <si>
    <t>Both</t>
  </si>
  <si>
    <t>Theory</t>
  </si>
  <si>
    <t>Year</t>
  </si>
  <si>
    <t>Calibration count</t>
  </si>
  <si>
    <t>Validation count</t>
  </si>
  <si>
    <t>PM</t>
  </si>
  <si>
    <t>Total papers</t>
  </si>
  <si>
    <t>Calibration %</t>
  </si>
  <si>
    <t>Validation %</t>
  </si>
  <si>
    <t>PM %</t>
  </si>
  <si>
    <t>Dynamic %</t>
  </si>
  <si>
    <t>Mean adaptation strategies</t>
  </si>
  <si>
    <t>Calibrated</t>
  </si>
  <si>
    <t>Scenario type</t>
  </si>
  <si>
    <t>Climate metric</t>
  </si>
  <si>
    <t>Rule</t>
  </si>
  <si>
    <t>Strategy count</t>
  </si>
  <si>
    <t>Extreme events</t>
  </si>
  <si>
    <t>Decision method</t>
  </si>
  <si>
    <t>PM yes</t>
  </si>
  <si>
    <t>PM no</t>
  </si>
  <si>
    <t>No-PM no</t>
  </si>
  <si>
    <t>No-PM yes</t>
  </si>
  <si>
    <t>Variable</t>
  </si>
  <si>
    <t>Community count</t>
  </si>
  <si>
    <t>Sub-national count</t>
  </si>
  <si>
    <t>National count</t>
  </si>
  <si>
    <t>Multi-national count</t>
  </si>
  <si>
    <t>Total</t>
  </si>
  <si>
    <t>Community %</t>
  </si>
  <si>
    <t>Sub-national %</t>
  </si>
  <si>
    <t>National %</t>
  </si>
  <si>
    <t>Multi-national %</t>
  </si>
  <si>
    <t xml:space="preserve">Statistical summaries for </t>
  </si>
  <si>
    <t>Integrating adaptation into climate risk models using agent-based modelling: a systematic literature review</t>
  </si>
  <si>
    <t>Green tabs: Sheets used for figure development</t>
  </si>
  <si>
    <t>Grey tabs: Sheets used for general statistics</t>
  </si>
  <si>
    <t>PM count</t>
  </si>
  <si>
    <t>Dynamic count</t>
  </si>
  <si>
    <t xml:space="preserve">Warning/ observing infrastructure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</si>
</sst>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vertical="top" wrapText="1"/>
    </xf>
    <xf numFmtId="0" fontId="0" fillId="0" borderId="0" xfId="0" applyAlignment="1">
      <alignment horizontal="left" vertical="top" wrapText="1"/>
    </xf>
    <xf numFmtId="164" fontId="0" fillId="0" borderId="0" xfId="0" applyNumberFormat="1"/>
    <xf numFmtId="0" fontId="0" fillId="0" borderId="0" xfId="0" applyAlignment="1">
      <alignment vertical="top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0EBE40"/>
      <color rgb="FF5E2228"/>
      <color rgb="FFE098DB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styles" Target="styles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calcChain" Target="calcChain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0B98E7-F051-43CA-9567-E53BCD05A35A}">
  <sheetPr>
    <tabColor theme="2" tint="-0.249977111117893"/>
  </sheetPr>
  <dimension ref="A1:A5"/>
  <sheetViews>
    <sheetView workbookViewId="0">
      <selection activeCell="A6" sqref="A6"/>
    </sheetView>
  </sheetViews>
  <sheetFormatPr defaultRowHeight="14.5" x14ac:dyDescent="0.35"/>
  <sheetData>
    <row r="1" spans="1:1" x14ac:dyDescent="0.35">
      <c r="A1" t="s">
        <v>126</v>
      </c>
    </row>
    <row r="2" spans="1:1" x14ac:dyDescent="0.35">
      <c r="A2" t="s">
        <v>127</v>
      </c>
    </row>
    <row r="4" spans="1:1" x14ac:dyDescent="0.35">
      <c r="A4" t="s">
        <v>128</v>
      </c>
    </row>
    <row r="5" spans="1:1" x14ac:dyDescent="0.35">
      <c r="A5" t="s">
        <v>129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965F41-E6B0-4DC6-BF9D-B5D97724BC3D}">
  <sheetPr>
    <tabColor rgb="FF0EBE40"/>
  </sheetPr>
  <dimension ref="A1:D12"/>
  <sheetViews>
    <sheetView zoomScale="108" workbookViewId="0">
      <selection sqref="A1:A1048576"/>
    </sheetView>
  </sheetViews>
  <sheetFormatPr defaultRowHeight="14.5" x14ac:dyDescent="0.35"/>
  <cols>
    <col min="1" max="1" width="14" customWidth="1"/>
    <col min="3" max="3" width="17.7265625" bestFit="1" customWidth="1"/>
    <col min="4" max="4" width="24.54296875" bestFit="1" customWidth="1"/>
  </cols>
  <sheetData>
    <row r="1" spans="1:4" x14ac:dyDescent="0.35">
      <c r="A1" t="s">
        <v>0</v>
      </c>
      <c r="B1" t="s">
        <v>10</v>
      </c>
    </row>
    <row r="2" spans="1:4" x14ac:dyDescent="0.35">
      <c r="A2" s="1" t="s">
        <v>1</v>
      </c>
      <c r="B2">
        <v>16</v>
      </c>
      <c r="D2" s="3"/>
    </row>
    <row r="3" spans="1:4" x14ac:dyDescent="0.35">
      <c r="A3" s="1" t="s">
        <v>2</v>
      </c>
      <c r="B3">
        <v>29</v>
      </c>
      <c r="D3" s="3"/>
    </row>
    <row r="4" spans="1:4" x14ac:dyDescent="0.35">
      <c r="A4" s="1" t="s">
        <v>6</v>
      </c>
      <c r="B4">
        <v>5</v>
      </c>
      <c r="D4" s="3"/>
    </row>
    <row r="5" spans="1:4" ht="29" x14ac:dyDescent="0.35">
      <c r="A5" s="1" t="s">
        <v>5</v>
      </c>
      <c r="B5">
        <v>5</v>
      </c>
      <c r="D5" s="3"/>
    </row>
    <row r="6" spans="1:4" x14ac:dyDescent="0.35">
      <c r="A6" s="1" t="s">
        <v>3</v>
      </c>
      <c r="B6">
        <v>29</v>
      </c>
      <c r="D6" s="3"/>
    </row>
    <row r="7" spans="1:4" x14ac:dyDescent="0.35">
      <c r="A7" s="1" t="s">
        <v>4</v>
      </c>
      <c r="B7">
        <v>30</v>
      </c>
      <c r="D7" s="3"/>
    </row>
    <row r="8" spans="1:4" x14ac:dyDescent="0.35">
      <c r="A8" s="1" t="s">
        <v>91</v>
      </c>
      <c r="B8">
        <v>1</v>
      </c>
      <c r="D8" s="3"/>
    </row>
    <row r="9" spans="1:4" x14ac:dyDescent="0.35">
      <c r="A9" s="1" t="s">
        <v>7</v>
      </c>
      <c r="B9">
        <v>1</v>
      </c>
      <c r="D9" s="3"/>
    </row>
    <row r="10" spans="1:4" x14ac:dyDescent="0.35">
      <c r="A10" s="1" t="s">
        <v>26</v>
      </c>
      <c r="B10">
        <v>1</v>
      </c>
    </row>
    <row r="11" spans="1:4" ht="15" customHeight="1" x14ac:dyDescent="0.35">
      <c r="A11" s="1" t="s">
        <v>8</v>
      </c>
      <c r="B11">
        <v>0</v>
      </c>
    </row>
    <row r="12" spans="1:4" x14ac:dyDescent="0.35">
      <c r="A12" s="1" t="s">
        <v>9</v>
      </c>
      <c r="B12">
        <v>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F7D2F9-8A1B-4EDF-B423-C620968EE24B}">
  <sheetPr>
    <tabColor rgb="FF0EBE40"/>
  </sheetPr>
  <dimension ref="A1:J27"/>
  <sheetViews>
    <sheetView workbookViewId="0">
      <selection activeCell="N17" sqref="N17"/>
    </sheetView>
  </sheetViews>
  <sheetFormatPr defaultRowHeight="14.5" x14ac:dyDescent="0.35"/>
  <cols>
    <col min="3" max="3" width="14.81640625" bestFit="1" customWidth="1"/>
    <col min="4" max="4" width="11.6328125" bestFit="1" customWidth="1"/>
  </cols>
  <sheetData>
    <row r="1" spans="1:10" x14ac:dyDescent="0.35">
      <c r="A1" t="s">
        <v>95</v>
      </c>
      <c r="B1" t="s">
        <v>99</v>
      </c>
      <c r="C1" t="s">
        <v>96</v>
      </c>
      <c r="D1" t="s">
        <v>100</v>
      </c>
      <c r="E1" t="s">
        <v>97</v>
      </c>
      <c r="F1" t="s">
        <v>101</v>
      </c>
      <c r="G1" t="s">
        <v>130</v>
      </c>
      <c r="H1" t="s">
        <v>102</v>
      </c>
      <c r="I1" t="s">
        <v>131</v>
      </c>
      <c r="J1" t="s">
        <v>103</v>
      </c>
    </row>
    <row r="2" spans="1:10" x14ac:dyDescent="0.35">
      <c r="A2">
        <v>2000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</row>
    <row r="3" spans="1:10" x14ac:dyDescent="0.35">
      <c r="A3">
        <v>2001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</row>
    <row r="4" spans="1:10" x14ac:dyDescent="0.35">
      <c r="A4">
        <v>2002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</row>
    <row r="5" spans="1:10" x14ac:dyDescent="0.35">
      <c r="A5">
        <v>2003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</row>
    <row r="6" spans="1:10" x14ac:dyDescent="0.35">
      <c r="A6">
        <v>2004</v>
      </c>
      <c r="B6">
        <v>1</v>
      </c>
      <c r="C6">
        <v>0</v>
      </c>
      <c r="D6">
        <f>(100/B6)*C6</f>
        <v>0</v>
      </c>
      <c r="E6">
        <v>0</v>
      </c>
      <c r="F6">
        <v>0</v>
      </c>
      <c r="G6">
        <v>0</v>
      </c>
      <c r="H6">
        <v>0</v>
      </c>
      <c r="I6">
        <v>1</v>
      </c>
      <c r="J6">
        <f>(100/B6)*I6</f>
        <v>100</v>
      </c>
    </row>
    <row r="7" spans="1:10" x14ac:dyDescent="0.35">
      <c r="A7">
        <v>2005</v>
      </c>
      <c r="B7">
        <v>1</v>
      </c>
      <c r="C7">
        <v>0</v>
      </c>
      <c r="D7">
        <f t="shared" ref="D7:D27" si="0">(100/B7)*C7</f>
        <v>0</v>
      </c>
      <c r="E7">
        <v>0</v>
      </c>
      <c r="F7">
        <v>0</v>
      </c>
      <c r="G7">
        <v>0</v>
      </c>
      <c r="H7">
        <v>0</v>
      </c>
      <c r="I7">
        <v>1</v>
      </c>
      <c r="J7">
        <f>(100/B7)*I7</f>
        <v>100</v>
      </c>
    </row>
    <row r="8" spans="1:10" x14ac:dyDescent="0.35">
      <c r="A8">
        <v>2006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</row>
    <row r="9" spans="1:10" x14ac:dyDescent="0.35">
      <c r="A9">
        <v>2007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</row>
    <row r="10" spans="1:10" x14ac:dyDescent="0.35">
      <c r="A10">
        <v>2008</v>
      </c>
      <c r="B10">
        <v>1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1</v>
      </c>
      <c r="J10">
        <f>(100/B10)*I10</f>
        <v>100</v>
      </c>
    </row>
    <row r="11" spans="1:10" x14ac:dyDescent="0.35">
      <c r="A11">
        <v>2009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</row>
    <row r="12" spans="1:10" x14ac:dyDescent="0.35">
      <c r="A12">
        <v>2010</v>
      </c>
      <c r="B12">
        <v>2</v>
      </c>
      <c r="C12">
        <v>1</v>
      </c>
      <c r="D12">
        <f t="shared" si="0"/>
        <v>50</v>
      </c>
      <c r="E12">
        <v>1</v>
      </c>
      <c r="F12">
        <f>(100/B12)*E12</f>
        <v>50</v>
      </c>
      <c r="G12">
        <v>0</v>
      </c>
      <c r="H12">
        <v>0</v>
      </c>
      <c r="I12">
        <v>2</v>
      </c>
      <c r="J12">
        <f>(100/B12)*I12</f>
        <v>100</v>
      </c>
    </row>
    <row r="13" spans="1:10" x14ac:dyDescent="0.35">
      <c r="A13">
        <v>2011</v>
      </c>
      <c r="B13">
        <v>1</v>
      </c>
      <c r="C13">
        <v>1</v>
      </c>
      <c r="D13">
        <f t="shared" si="0"/>
        <v>100</v>
      </c>
      <c r="E13">
        <v>0</v>
      </c>
      <c r="F13">
        <f t="shared" ref="F13:F27" si="1">(100/B13)*E13</f>
        <v>0</v>
      </c>
      <c r="G13">
        <v>0</v>
      </c>
      <c r="H13">
        <v>0</v>
      </c>
      <c r="I13">
        <v>0</v>
      </c>
      <c r="J13">
        <f>(100/B13)*I13</f>
        <v>0</v>
      </c>
    </row>
    <row r="14" spans="1:10" x14ac:dyDescent="0.35">
      <c r="A14">
        <v>2012</v>
      </c>
      <c r="B14">
        <v>3</v>
      </c>
      <c r="C14">
        <v>1</v>
      </c>
      <c r="D14">
        <f t="shared" si="0"/>
        <v>33.333333333333336</v>
      </c>
      <c r="E14">
        <v>0</v>
      </c>
      <c r="F14">
        <f t="shared" si="1"/>
        <v>0</v>
      </c>
      <c r="G14">
        <v>0</v>
      </c>
      <c r="H14">
        <v>0</v>
      </c>
      <c r="I14">
        <v>1</v>
      </c>
      <c r="J14">
        <f>(100/B14)*I14</f>
        <v>33.333333333333336</v>
      </c>
    </row>
    <row r="15" spans="1:10" x14ac:dyDescent="0.35">
      <c r="A15">
        <v>2013</v>
      </c>
      <c r="B15">
        <v>5</v>
      </c>
      <c r="C15">
        <v>3</v>
      </c>
      <c r="D15">
        <f t="shared" si="0"/>
        <v>60</v>
      </c>
      <c r="E15">
        <v>2</v>
      </c>
      <c r="F15">
        <f t="shared" si="1"/>
        <v>40</v>
      </c>
      <c r="G15">
        <v>0</v>
      </c>
      <c r="H15">
        <v>0</v>
      </c>
      <c r="I15">
        <v>2</v>
      </c>
      <c r="J15">
        <f>(100/B15)*I15</f>
        <v>40</v>
      </c>
    </row>
    <row r="16" spans="1:10" x14ac:dyDescent="0.35">
      <c r="A16">
        <v>2014</v>
      </c>
      <c r="B16">
        <v>3</v>
      </c>
      <c r="C16">
        <v>2</v>
      </c>
      <c r="D16">
        <f t="shared" si="0"/>
        <v>66.666666666666671</v>
      </c>
      <c r="E16">
        <v>2</v>
      </c>
      <c r="F16">
        <f t="shared" si="1"/>
        <v>66.666666666666671</v>
      </c>
      <c r="G16">
        <v>1</v>
      </c>
      <c r="H16">
        <f>(100/B16)*G16</f>
        <v>33.333333333333336</v>
      </c>
      <c r="I16">
        <v>0</v>
      </c>
      <c r="J16">
        <f>(100/B16)*I16</f>
        <v>0</v>
      </c>
    </row>
    <row r="17" spans="1:10" x14ac:dyDescent="0.35">
      <c r="A17">
        <v>2015</v>
      </c>
      <c r="B17">
        <v>6</v>
      </c>
      <c r="C17">
        <v>3</v>
      </c>
      <c r="D17">
        <f t="shared" si="0"/>
        <v>50</v>
      </c>
      <c r="E17">
        <v>5</v>
      </c>
      <c r="F17">
        <f t="shared" si="1"/>
        <v>83.333333333333343</v>
      </c>
      <c r="G17">
        <v>0</v>
      </c>
      <c r="H17">
        <f>(100/B17)*G17</f>
        <v>0</v>
      </c>
      <c r="I17">
        <v>4</v>
      </c>
      <c r="J17">
        <f>(100/B17)*I17</f>
        <v>66.666666666666671</v>
      </c>
    </row>
    <row r="18" spans="1:10" x14ac:dyDescent="0.35">
      <c r="A18">
        <v>2016</v>
      </c>
      <c r="B18">
        <v>4</v>
      </c>
      <c r="C18">
        <v>2</v>
      </c>
      <c r="D18">
        <f t="shared" si="0"/>
        <v>50</v>
      </c>
      <c r="E18">
        <v>2</v>
      </c>
      <c r="F18">
        <f t="shared" si="1"/>
        <v>50</v>
      </c>
      <c r="G18">
        <v>1</v>
      </c>
      <c r="H18">
        <f>(100/B18)*G18</f>
        <v>25</v>
      </c>
      <c r="I18">
        <v>3</v>
      </c>
      <c r="J18">
        <f>(100/B18)*I18</f>
        <v>75</v>
      </c>
    </row>
    <row r="19" spans="1:10" x14ac:dyDescent="0.35">
      <c r="A19">
        <v>2017</v>
      </c>
      <c r="B19">
        <v>5</v>
      </c>
      <c r="C19">
        <v>0</v>
      </c>
      <c r="D19">
        <f t="shared" si="0"/>
        <v>0</v>
      </c>
      <c r="E19">
        <v>1</v>
      </c>
      <c r="F19">
        <f t="shared" si="1"/>
        <v>20</v>
      </c>
      <c r="G19">
        <v>0</v>
      </c>
      <c r="H19">
        <f>(100/B19)*G19</f>
        <v>0</v>
      </c>
      <c r="I19">
        <v>2</v>
      </c>
      <c r="J19">
        <f>(100/B19)*I19</f>
        <v>40</v>
      </c>
    </row>
    <row r="20" spans="1:10" x14ac:dyDescent="0.35">
      <c r="A20">
        <v>2018</v>
      </c>
      <c r="B20">
        <v>8</v>
      </c>
      <c r="C20">
        <v>3</v>
      </c>
      <c r="D20">
        <f t="shared" si="0"/>
        <v>37.5</v>
      </c>
      <c r="E20">
        <v>6</v>
      </c>
      <c r="F20">
        <f t="shared" si="1"/>
        <v>75</v>
      </c>
      <c r="G20">
        <v>2</v>
      </c>
      <c r="H20">
        <f>(100/B20)*G20</f>
        <v>25</v>
      </c>
      <c r="I20">
        <v>6</v>
      </c>
      <c r="J20">
        <f>(100/B20)*I20</f>
        <v>75</v>
      </c>
    </row>
    <row r="21" spans="1:10" x14ac:dyDescent="0.35">
      <c r="A21">
        <v>2019</v>
      </c>
      <c r="B21">
        <v>5</v>
      </c>
      <c r="C21">
        <v>0</v>
      </c>
      <c r="D21">
        <f t="shared" si="0"/>
        <v>0</v>
      </c>
      <c r="E21">
        <v>0</v>
      </c>
      <c r="F21">
        <f t="shared" si="1"/>
        <v>0</v>
      </c>
      <c r="G21">
        <v>0</v>
      </c>
      <c r="H21">
        <f>(100/B21)*G21</f>
        <v>0</v>
      </c>
      <c r="I21">
        <v>3</v>
      </c>
      <c r="J21">
        <f>(100/B21)*I21</f>
        <v>60</v>
      </c>
    </row>
    <row r="22" spans="1:10" x14ac:dyDescent="0.35">
      <c r="A22">
        <v>2020</v>
      </c>
      <c r="B22">
        <v>15</v>
      </c>
      <c r="C22">
        <v>7</v>
      </c>
      <c r="D22">
        <f t="shared" si="0"/>
        <v>46.666666666666671</v>
      </c>
      <c r="E22">
        <v>8</v>
      </c>
      <c r="F22">
        <f t="shared" si="1"/>
        <v>53.333333333333336</v>
      </c>
      <c r="G22">
        <v>1</v>
      </c>
      <c r="H22">
        <f>(100/B22)*G22</f>
        <v>6.666666666666667</v>
      </c>
      <c r="I22">
        <v>6</v>
      </c>
      <c r="J22">
        <f>(100/B22)*I22</f>
        <v>40</v>
      </c>
    </row>
    <row r="23" spans="1:10" x14ac:dyDescent="0.35">
      <c r="A23">
        <v>2021</v>
      </c>
      <c r="B23">
        <v>13</v>
      </c>
      <c r="C23">
        <v>8</v>
      </c>
      <c r="D23">
        <f t="shared" si="0"/>
        <v>61.53846153846154</v>
      </c>
      <c r="E23">
        <v>7</v>
      </c>
      <c r="F23">
        <f t="shared" si="1"/>
        <v>53.846153846153847</v>
      </c>
      <c r="G23">
        <v>0</v>
      </c>
      <c r="H23">
        <f>(100/B23)*G23</f>
        <v>0</v>
      </c>
      <c r="I23">
        <v>8</v>
      </c>
      <c r="J23">
        <f>(100/B23)*I23</f>
        <v>61.53846153846154</v>
      </c>
    </row>
    <row r="24" spans="1:10" x14ac:dyDescent="0.35">
      <c r="A24">
        <v>2022</v>
      </c>
      <c r="B24">
        <v>13</v>
      </c>
      <c r="C24">
        <v>7</v>
      </c>
      <c r="D24">
        <f t="shared" si="0"/>
        <v>53.846153846153847</v>
      </c>
      <c r="E24">
        <v>5</v>
      </c>
      <c r="F24">
        <f t="shared" si="1"/>
        <v>38.46153846153846</v>
      </c>
      <c r="G24">
        <v>2</v>
      </c>
      <c r="H24">
        <f>(100/B24)*G24</f>
        <v>15.384615384615385</v>
      </c>
      <c r="I24">
        <v>9</v>
      </c>
      <c r="J24">
        <f>(100/B24)*I24</f>
        <v>69.230769230769226</v>
      </c>
    </row>
    <row r="25" spans="1:10" x14ac:dyDescent="0.35">
      <c r="A25">
        <v>2023</v>
      </c>
      <c r="B25">
        <v>16</v>
      </c>
      <c r="C25">
        <v>9</v>
      </c>
      <c r="D25">
        <f t="shared" si="0"/>
        <v>56.25</v>
      </c>
      <c r="E25">
        <v>8</v>
      </c>
      <c r="F25">
        <f t="shared" si="1"/>
        <v>50</v>
      </c>
      <c r="G25">
        <v>3</v>
      </c>
      <c r="H25">
        <f>(100/B25)*G25</f>
        <v>18.75</v>
      </c>
      <c r="I25">
        <v>10</v>
      </c>
      <c r="J25">
        <f>(100/B25)*I25</f>
        <v>62.5</v>
      </c>
    </row>
    <row r="26" spans="1:10" x14ac:dyDescent="0.35">
      <c r="A26">
        <v>2024</v>
      </c>
      <c r="B26">
        <v>15</v>
      </c>
      <c r="C26">
        <v>6</v>
      </c>
      <c r="D26">
        <f t="shared" si="0"/>
        <v>40</v>
      </c>
      <c r="E26">
        <v>8</v>
      </c>
      <c r="F26">
        <f t="shared" si="1"/>
        <v>53.333333333333336</v>
      </c>
      <c r="G26">
        <v>2</v>
      </c>
      <c r="H26">
        <f>(100/B26)*G26</f>
        <v>13.333333333333334</v>
      </c>
      <c r="I26">
        <v>11</v>
      </c>
      <c r="J26">
        <f>(100/B26)*I26</f>
        <v>73.333333333333343</v>
      </c>
    </row>
    <row r="27" spans="1:10" x14ac:dyDescent="0.35">
      <c r="A27">
        <v>2025</v>
      </c>
      <c r="B27">
        <v>9</v>
      </c>
      <c r="C27">
        <v>4</v>
      </c>
      <c r="D27">
        <f t="shared" si="0"/>
        <v>44.444444444444443</v>
      </c>
      <c r="E27">
        <v>4</v>
      </c>
      <c r="F27">
        <f t="shared" si="1"/>
        <v>44.444444444444443</v>
      </c>
      <c r="G27">
        <v>2</v>
      </c>
      <c r="H27">
        <f>(100/B27)*G27</f>
        <v>22.222222222222221</v>
      </c>
      <c r="I27">
        <v>4</v>
      </c>
      <c r="J27">
        <f>(100/B27)*I27</f>
        <v>44.444444444444443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85AD98-4AC5-4F3C-982C-FB55271D0CBA}">
  <sheetPr>
    <tabColor rgb="FF0EBE40"/>
  </sheetPr>
  <dimension ref="A1:B13"/>
  <sheetViews>
    <sheetView workbookViewId="0">
      <selection activeCell="B22" sqref="B22"/>
    </sheetView>
  </sheetViews>
  <sheetFormatPr defaultRowHeight="14.5" x14ac:dyDescent="0.35"/>
  <cols>
    <col min="1" max="1" width="14.54296875" customWidth="1"/>
  </cols>
  <sheetData>
    <row r="1" spans="1:2" x14ac:dyDescent="0.35">
      <c r="A1" t="s">
        <v>11</v>
      </c>
      <c r="B1" t="s">
        <v>10</v>
      </c>
    </row>
    <row r="2" spans="1:2" ht="29" x14ac:dyDescent="0.35">
      <c r="A2" s="1" t="s">
        <v>22</v>
      </c>
      <c r="B2">
        <v>58</v>
      </c>
    </row>
    <row r="3" spans="1:2" ht="43.5" x14ac:dyDescent="0.35">
      <c r="A3" s="1" t="s">
        <v>12</v>
      </c>
      <c r="B3">
        <v>20</v>
      </c>
    </row>
    <row r="4" spans="1:2" ht="29" x14ac:dyDescent="0.35">
      <c r="A4" s="1" t="s">
        <v>16</v>
      </c>
      <c r="B4">
        <v>10</v>
      </c>
    </row>
    <row r="5" spans="1:2" ht="29" x14ac:dyDescent="0.35">
      <c r="A5" s="1" t="s">
        <v>19</v>
      </c>
      <c r="B5">
        <v>7</v>
      </c>
    </row>
    <row r="6" spans="1:2" ht="29" x14ac:dyDescent="0.35">
      <c r="A6" s="1" t="s">
        <v>14</v>
      </c>
      <c r="B6">
        <v>16</v>
      </c>
    </row>
    <row r="7" spans="1:2" x14ac:dyDescent="0.35">
      <c r="A7" s="1" t="s">
        <v>20</v>
      </c>
      <c r="B7">
        <v>0</v>
      </c>
    </row>
    <row r="8" spans="1:2" x14ac:dyDescent="0.35">
      <c r="A8" s="1" t="s">
        <v>18</v>
      </c>
      <c r="B8">
        <v>0</v>
      </c>
    </row>
    <row r="9" spans="1:2" x14ac:dyDescent="0.35">
      <c r="A9" s="1" t="s">
        <v>17</v>
      </c>
      <c r="B9">
        <v>1</v>
      </c>
    </row>
    <row r="10" spans="1:2" x14ac:dyDescent="0.35">
      <c r="A10" s="1" t="s">
        <v>13</v>
      </c>
      <c r="B10">
        <v>3</v>
      </c>
    </row>
    <row r="11" spans="1:2" ht="29" x14ac:dyDescent="0.35">
      <c r="A11" s="1" t="s">
        <v>25</v>
      </c>
      <c r="B11">
        <v>2</v>
      </c>
    </row>
    <row r="12" spans="1:2" x14ac:dyDescent="0.35">
      <c r="A12" s="1" t="s">
        <v>15</v>
      </c>
      <c r="B12">
        <v>7</v>
      </c>
    </row>
    <row r="13" spans="1:2" ht="29" x14ac:dyDescent="0.35">
      <c r="A13" s="1" t="s">
        <v>21</v>
      </c>
      <c r="B13">
        <v>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1E0438-CCE6-46B5-A57D-9397E542E99A}">
  <sheetPr>
    <tabColor rgb="FF0EBE40"/>
  </sheetPr>
  <dimension ref="A1:M14"/>
  <sheetViews>
    <sheetView zoomScaleNormal="100" workbookViewId="0">
      <selection activeCell="C8" sqref="C8"/>
    </sheetView>
  </sheetViews>
  <sheetFormatPr defaultRowHeight="14.5" x14ac:dyDescent="0.35"/>
  <cols>
    <col min="1" max="1" width="14" customWidth="1"/>
  </cols>
  <sheetData>
    <row r="1" spans="1:13" x14ac:dyDescent="0.35">
      <c r="A1" t="s">
        <v>0</v>
      </c>
      <c r="B1" t="s">
        <v>22</v>
      </c>
      <c r="C1" t="s">
        <v>12</v>
      </c>
      <c r="D1" t="s">
        <v>16</v>
      </c>
      <c r="E1" t="s">
        <v>19</v>
      </c>
      <c r="F1" t="s">
        <v>27</v>
      </c>
      <c r="G1" t="s">
        <v>24</v>
      </c>
      <c r="H1" t="s">
        <v>18</v>
      </c>
      <c r="I1" t="s">
        <v>23</v>
      </c>
      <c r="J1" s="1" t="s">
        <v>13</v>
      </c>
      <c r="K1" t="s">
        <v>25</v>
      </c>
      <c r="L1" t="s">
        <v>15</v>
      </c>
      <c r="M1" t="s">
        <v>21</v>
      </c>
    </row>
    <row r="2" spans="1:13" x14ac:dyDescent="0.35">
      <c r="A2" s="1" t="s">
        <v>1</v>
      </c>
      <c r="B2">
        <v>13</v>
      </c>
      <c r="C2">
        <v>1</v>
      </c>
      <c r="D2">
        <v>1</v>
      </c>
      <c r="E2">
        <v>1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</row>
    <row r="3" spans="1:13" x14ac:dyDescent="0.35">
      <c r="A3" s="1" t="s">
        <v>2</v>
      </c>
      <c r="B3">
        <v>18</v>
      </c>
      <c r="C3">
        <v>1</v>
      </c>
      <c r="D3">
        <v>3</v>
      </c>
      <c r="E3">
        <v>3</v>
      </c>
      <c r="F3">
        <v>3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1</v>
      </c>
    </row>
    <row r="4" spans="1:13" x14ac:dyDescent="0.35">
      <c r="A4" s="1" t="s">
        <v>6</v>
      </c>
      <c r="B4">
        <v>12</v>
      </c>
      <c r="C4">
        <v>3</v>
      </c>
      <c r="D4">
        <v>0</v>
      </c>
      <c r="E4">
        <v>0</v>
      </c>
      <c r="F4">
        <v>8</v>
      </c>
      <c r="G4">
        <v>0</v>
      </c>
      <c r="H4">
        <v>0</v>
      </c>
      <c r="I4">
        <v>0</v>
      </c>
      <c r="J4">
        <v>1</v>
      </c>
      <c r="K4">
        <v>0</v>
      </c>
      <c r="L4">
        <v>5</v>
      </c>
      <c r="M4">
        <v>0</v>
      </c>
    </row>
    <row r="5" spans="1:13" ht="29" x14ac:dyDescent="0.35">
      <c r="A5" s="1" t="s">
        <v>5</v>
      </c>
      <c r="B5">
        <v>4</v>
      </c>
      <c r="C5">
        <v>11</v>
      </c>
      <c r="D5">
        <v>3</v>
      </c>
      <c r="E5">
        <v>3</v>
      </c>
      <c r="F5">
        <v>4</v>
      </c>
      <c r="G5">
        <v>0</v>
      </c>
      <c r="H5">
        <v>0</v>
      </c>
      <c r="I5">
        <v>1</v>
      </c>
      <c r="J5">
        <v>1</v>
      </c>
      <c r="K5">
        <v>1</v>
      </c>
      <c r="L5">
        <v>1</v>
      </c>
      <c r="M5">
        <v>1</v>
      </c>
    </row>
    <row r="6" spans="1:13" x14ac:dyDescent="0.35">
      <c r="A6" s="1" t="s">
        <v>3</v>
      </c>
      <c r="B6">
        <v>4</v>
      </c>
      <c r="C6">
        <v>0</v>
      </c>
      <c r="D6">
        <v>1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</row>
    <row r="7" spans="1:13" x14ac:dyDescent="0.35">
      <c r="A7" s="1" t="s">
        <v>4</v>
      </c>
      <c r="B7">
        <v>3</v>
      </c>
      <c r="C7">
        <v>1</v>
      </c>
      <c r="D7">
        <v>0</v>
      </c>
      <c r="E7">
        <v>0</v>
      </c>
      <c r="F7">
        <v>1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</row>
    <row r="8" spans="1:13" x14ac:dyDescent="0.35">
      <c r="A8" s="1" t="s">
        <v>91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1</v>
      </c>
      <c r="M8">
        <v>0</v>
      </c>
    </row>
    <row r="9" spans="1:13" x14ac:dyDescent="0.35">
      <c r="A9" s="1" t="s">
        <v>7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1</v>
      </c>
      <c r="L9">
        <v>0</v>
      </c>
      <c r="M9">
        <v>0</v>
      </c>
    </row>
    <row r="10" spans="1:13" x14ac:dyDescent="0.35">
      <c r="A10" s="1" t="s">
        <v>26</v>
      </c>
      <c r="B10">
        <v>0</v>
      </c>
      <c r="C10">
        <v>0</v>
      </c>
      <c r="D10">
        <v>1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</row>
    <row r="11" spans="1:13" x14ac:dyDescent="0.35">
      <c r="A11" s="1" t="s">
        <v>8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</row>
    <row r="12" spans="1:13" x14ac:dyDescent="0.35">
      <c r="A12" s="1" t="s">
        <v>9</v>
      </c>
      <c r="B12">
        <v>4</v>
      </c>
      <c r="C12">
        <v>3</v>
      </c>
      <c r="D12">
        <v>1</v>
      </c>
      <c r="E12">
        <v>0</v>
      </c>
      <c r="F12">
        <v>0</v>
      </c>
      <c r="G12">
        <v>0</v>
      </c>
      <c r="H12">
        <v>0</v>
      </c>
      <c r="I12">
        <v>0</v>
      </c>
      <c r="J12">
        <v>1</v>
      </c>
      <c r="K12">
        <v>0</v>
      </c>
      <c r="L12">
        <v>0</v>
      </c>
      <c r="M12">
        <v>0</v>
      </c>
    </row>
    <row r="14" spans="1:13" x14ac:dyDescent="0.35">
      <c r="J14" s="1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AAB6F8-BAD3-4602-9BA1-236554CD8167}">
  <sheetPr>
    <tabColor rgb="FF0EBE40"/>
  </sheetPr>
  <dimension ref="A1:B5"/>
  <sheetViews>
    <sheetView workbookViewId="0">
      <selection activeCell="K9" sqref="K9"/>
    </sheetView>
  </sheetViews>
  <sheetFormatPr defaultRowHeight="14.5" x14ac:dyDescent="0.35"/>
  <cols>
    <col min="1" max="1" width="14.54296875" customWidth="1"/>
  </cols>
  <sheetData>
    <row r="1" spans="1:2" x14ac:dyDescent="0.35">
      <c r="A1" t="s">
        <v>28</v>
      </c>
      <c r="B1" t="s">
        <v>10</v>
      </c>
    </row>
    <row r="2" spans="1:2" x14ac:dyDescent="0.35">
      <c r="A2" s="1" t="s">
        <v>29</v>
      </c>
      <c r="B2">
        <v>47</v>
      </c>
    </row>
    <row r="3" spans="1:2" x14ac:dyDescent="0.35">
      <c r="A3" s="1" t="s">
        <v>30</v>
      </c>
      <c r="B3">
        <v>57</v>
      </c>
    </row>
    <row r="4" spans="1:2" x14ac:dyDescent="0.35">
      <c r="A4" s="1" t="s">
        <v>31</v>
      </c>
      <c r="B4">
        <v>15</v>
      </c>
    </row>
    <row r="5" spans="1:2" x14ac:dyDescent="0.35">
      <c r="A5" s="1" t="s">
        <v>32</v>
      </c>
      <c r="B5">
        <v>7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173422-4941-4CA2-8410-F93110B599B3}">
  <sheetPr>
    <tabColor rgb="FF0EBE40"/>
  </sheetPr>
  <dimension ref="A1:E9"/>
  <sheetViews>
    <sheetView workbookViewId="0">
      <selection activeCell="D17" sqref="D17"/>
    </sheetView>
  </sheetViews>
  <sheetFormatPr defaultRowHeight="14.5" x14ac:dyDescent="0.35"/>
  <cols>
    <col min="1" max="1" width="18.54296875" customWidth="1"/>
    <col min="2" max="2" width="9.90625" bestFit="1" customWidth="1"/>
    <col min="3" max="3" width="9.90625" customWidth="1"/>
    <col min="4" max="4" width="20.453125" bestFit="1" customWidth="1"/>
  </cols>
  <sheetData>
    <row r="1" spans="1:5" x14ac:dyDescent="0.35">
      <c r="A1" t="s">
        <v>33</v>
      </c>
      <c r="B1" t="s">
        <v>42</v>
      </c>
      <c r="C1" t="s">
        <v>59</v>
      </c>
      <c r="D1" t="s">
        <v>36</v>
      </c>
      <c r="E1" t="s">
        <v>43</v>
      </c>
    </row>
    <row r="2" spans="1:5" x14ac:dyDescent="0.35">
      <c r="A2" s="1" t="s">
        <v>34</v>
      </c>
      <c r="B2">
        <v>20</v>
      </c>
      <c r="D2">
        <v>0</v>
      </c>
      <c r="E2">
        <v>0</v>
      </c>
    </row>
    <row r="3" spans="1:5" x14ac:dyDescent="0.35">
      <c r="A3" s="1" t="s">
        <v>35</v>
      </c>
      <c r="B3">
        <v>0</v>
      </c>
      <c r="C3">
        <v>29</v>
      </c>
      <c r="D3">
        <v>29</v>
      </c>
      <c r="E3">
        <v>22</v>
      </c>
    </row>
    <row r="4" spans="1:5" x14ac:dyDescent="0.35">
      <c r="A4" s="1" t="s">
        <v>37</v>
      </c>
      <c r="B4">
        <v>5</v>
      </c>
      <c r="D4">
        <v>0</v>
      </c>
      <c r="E4">
        <v>0</v>
      </c>
    </row>
    <row r="5" spans="1:5" x14ac:dyDescent="0.35">
      <c r="A5" s="1" t="s">
        <v>38</v>
      </c>
      <c r="B5">
        <v>23</v>
      </c>
      <c r="D5">
        <v>0</v>
      </c>
      <c r="E5">
        <v>0</v>
      </c>
    </row>
    <row r="6" spans="1:5" x14ac:dyDescent="0.35">
      <c r="A6" s="1" t="s">
        <v>39</v>
      </c>
      <c r="B6">
        <v>8</v>
      </c>
      <c r="D6">
        <v>0</v>
      </c>
      <c r="E6">
        <v>0</v>
      </c>
    </row>
    <row r="7" spans="1:5" ht="29" x14ac:dyDescent="0.35">
      <c r="A7" s="1" t="s">
        <v>40</v>
      </c>
      <c r="B7">
        <v>10</v>
      </c>
      <c r="D7">
        <v>0</v>
      </c>
      <c r="E7">
        <v>0</v>
      </c>
    </row>
    <row r="8" spans="1:5" ht="29" x14ac:dyDescent="0.35">
      <c r="A8" s="1" t="s">
        <v>41</v>
      </c>
      <c r="B8">
        <v>4</v>
      </c>
      <c r="D8">
        <v>0</v>
      </c>
      <c r="E8">
        <v>0</v>
      </c>
    </row>
    <row r="9" spans="1:5" x14ac:dyDescent="0.35">
      <c r="A9" s="1"/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8C1A2A-99A4-4B45-AB75-63FDAF91AFEB}">
  <sheetPr>
    <tabColor rgb="FF0EBE40"/>
  </sheetPr>
  <dimension ref="A1:J26"/>
  <sheetViews>
    <sheetView zoomScale="130" zoomScaleNormal="130" workbookViewId="0">
      <selection activeCell="L37" sqref="L37"/>
    </sheetView>
  </sheetViews>
  <sheetFormatPr defaultRowHeight="14.5" x14ac:dyDescent="0.35"/>
  <cols>
    <col min="1" max="1" width="14.453125" customWidth="1"/>
    <col min="2" max="2" width="17.36328125" customWidth="1"/>
  </cols>
  <sheetData>
    <row r="1" spans="1:10" x14ac:dyDescent="0.35">
      <c r="A1" t="s">
        <v>48</v>
      </c>
      <c r="B1" t="s">
        <v>10</v>
      </c>
    </row>
    <row r="2" spans="1:10" x14ac:dyDescent="0.35">
      <c r="A2" s="1" t="s">
        <v>49</v>
      </c>
      <c r="B2">
        <v>77</v>
      </c>
    </row>
    <row r="3" spans="1:10" x14ac:dyDescent="0.35">
      <c r="A3" s="1" t="s">
        <v>50</v>
      </c>
      <c r="B3">
        <v>28</v>
      </c>
    </row>
    <row r="4" spans="1:10" ht="29" x14ac:dyDescent="0.35">
      <c r="A4" s="1" t="s">
        <v>51</v>
      </c>
      <c r="B4">
        <v>55</v>
      </c>
    </row>
    <row r="5" spans="1:10" x14ac:dyDescent="0.35">
      <c r="A5" s="1" t="s">
        <v>52</v>
      </c>
      <c r="B5">
        <v>18</v>
      </c>
    </row>
    <row r="6" spans="1:10" x14ac:dyDescent="0.35">
      <c r="A6" s="1" t="s">
        <v>18</v>
      </c>
      <c r="B6">
        <v>28</v>
      </c>
    </row>
    <row r="7" spans="1:10" x14ac:dyDescent="0.35">
      <c r="A7" s="1" t="s">
        <v>53</v>
      </c>
      <c r="B7">
        <v>24</v>
      </c>
    </row>
    <row r="8" spans="1:10" x14ac:dyDescent="0.35">
      <c r="A8" s="1" t="s">
        <v>54</v>
      </c>
      <c r="B8">
        <v>26</v>
      </c>
    </row>
    <row r="9" spans="1:10" ht="43.5" x14ac:dyDescent="0.35">
      <c r="A9" s="1" t="s">
        <v>70</v>
      </c>
      <c r="B9">
        <v>2</v>
      </c>
    </row>
    <row r="10" spans="1:10" x14ac:dyDescent="0.35">
      <c r="A10" s="1"/>
    </row>
    <row r="11" spans="1:10" x14ac:dyDescent="0.35">
      <c r="A11" s="1"/>
      <c r="J11" s="1"/>
    </row>
    <row r="12" spans="1:10" x14ac:dyDescent="0.35">
      <c r="A12" s="1"/>
    </row>
    <row r="13" spans="1:10" x14ac:dyDescent="0.35">
      <c r="A13" s="1"/>
    </row>
    <row r="14" spans="1:10" x14ac:dyDescent="0.35">
      <c r="A14" s="1"/>
    </row>
    <row r="15" spans="1:10" x14ac:dyDescent="0.35">
      <c r="A15" s="1"/>
    </row>
    <row r="16" spans="1:10" x14ac:dyDescent="0.35">
      <c r="A16" s="1"/>
    </row>
    <row r="17" spans="1:1" x14ac:dyDescent="0.35">
      <c r="A17" s="1"/>
    </row>
    <row r="18" spans="1:1" x14ac:dyDescent="0.35">
      <c r="A18" s="1"/>
    </row>
    <row r="19" spans="1:1" x14ac:dyDescent="0.35">
      <c r="A19" s="1"/>
    </row>
    <row r="21" spans="1:1" x14ac:dyDescent="0.35">
      <c r="A21" s="1"/>
    </row>
    <row r="22" spans="1:1" x14ac:dyDescent="0.35">
      <c r="A22" s="1"/>
    </row>
    <row r="23" spans="1:1" x14ac:dyDescent="0.35">
      <c r="A23" s="1"/>
    </row>
    <row r="24" spans="1:1" x14ac:dyDescent="0.35">
      <c r="A24" s="1"/>
    </row>
    <row r="25" spans="1:1" x14ac:dyDescent="0.35">
      <c r="A25" s="1"/>
    </row>
    <row r="26" spans="1:1" x14ac:dyDescent="0.35">
      <c r="A26" s="1"/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94E9B0-8B87-4E7E-BDBB-B4A358617C22}">
  <sheetPr>
    <tabColor rgb="FF0EBE40"/>
  </sheetPr>
  <dimension ref="A1:B11"/>
  <sheetViews>
    <sheetView zoomScale="115" zoomScaleNormal="115" workbookViewId="0">
      <selection activeCell="Q20" sqref="Q20"/>
    </sheetView>
  </sheetViews>
  <sheetFormatPr defaultRowHeight="14.5" x14ac:dyDescent="0.35"/>
  <cols>
    <col min="2" max="2" width="10.1796875" style="2" customWidth="1"/>
    <col min="8" max="8" width="16.26953125" customWidth="1"/>
  </cols>
  <sheetData>
    <row r="1" spans="1:2" x14ac:dyDescent="0.35">
      <c r="A1" t="s">
        <v>109</v>
      </c>
      <c r="B1" t="s">
        <v>61</v>
      </c>
    </row>
    <row r="2" spans="1:2" x14ac:dyDescent="0.35">
      <c r="A2">
        <v>1</v>
      </c>
      <c r="B2">
        <v>28</v>
      </c>
    </row>
    <row r="3" spans="1:2" x14ac:dyDescent="0.35">
      <c r="A3">
        <v>2</v>
      </c>
      <c r="B3">
        <v>28</v>
      </c>
    </row>
    <row r="4" spans="1:2" x14ac:dyDescent="0.35">
      <c r="A4">
        <v>3</v>
      </c>
      <c r="B4">
        <v>24</v>
      </c>
    </row>
    <row r="5" spans="1:2" x14ac:dyDescent="0.35">
      <c r="A5">
        <v>4</v>
      </c>
      <c r="B5">
        <v>18</v>
      </c>
    </row>
    <row r="6" spans="1:2" x14ac:dyDescent="0.35">
      <c r="A6">
        <v>5</v>
      </c>
      <c r="B6">
        <v>13</v>
      </c>
    </row>
    <row r="7" spans="1:2" x14ac:dyDescent="0.35">
      <c r="A7">
        <v>6</v>
      </c>
      <c r="B7">
        <v>9</v>
      </c>
    </row>
    <row r="8" spans="1:2" x14ac:dyDescent="0.35">
      <c r="A8">
        <v>7</v>
      </c>
      <c r="B8">
        <v>1</v>
      </c>
    </row>
    <row r="9" spans="1:2" x14ac:dyDescent="0.35">
      <c r="A9">
        <v>8</v>
      </c>
      <c r="B9">
        <v>3</v>
      </c>
    </row>
    <row r="10" spans="1:2" x14ac:dyDescent="0.35">
      <c r="A10">
        <v>9</v>
      </c>
      <c r="B10">
        <v>1</v>
      </c>
    </row>
    <row r="11" spans="1:2" x14ac:dyDescent="0.35">
      <c r="A11">
        <v>10</v>
      </c>
      <c r="B11">
        <v>1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695DA4-F9CD-4009-955A-503ED7991D27}">
  <sheetPr>
    <tabColor rgb="FF0EBE40"/>
  </sheetPr>
  <dimension ref="A1:C7"/>
  <sheetViews>
    <sheetView workbookViewId="0">
      <selection activeCell="E3" sqref="E3"/>
    </sheetView>
  </sheetViews>
  <sheetFormatPr defaultRowHeight="14.5" x14ac:dyDescent="0.35"/>
  <cols>
    <col min="1" max="1" width="22.1796875" customWidth="1"/>
  </cols>
  <sheetData>
    <row r="1" spans="1:3" x14ac:dyDescent="0.35">
      <c r="A1" t="s">
        <v>106</v>
      </c>
      <c r="B1" t="s">
        <v>10</v>
      </c>
      <c r="C1" t="s">
        <v>60</v>
      </c>
    </row>
    <row r="2" spans="1:3" x14ac:dyDescent="0.35">
      <c r="A2" t="s">
        <v>69</v>
      </c>
      <c r="B2">
        <v>48</v>
      </c>
      <c r="C2">
        <f>(100/126)*B2</f>
        <v>38.095238095238095</v>
      </c>
    </row>
    <row r="3" spans="1:3" x14ac:dyDescent="0.35">
      <c r="A3" t="s">
        <v>66</v>
      </c>
      <c r="B3">
        <v>22</v>
      </c>
      <c r="C3">
        <f>(100/78)*B3</f>
        <v>28.205128205128208</v>
      </c>
    </row>
    <row r="4" spans="1:3" x14ac:dyDescent="0.35">
      <c r="A4" t="s">
        <v>34</v>
      </c>
      <c r="B4">
        <v>14</v>
      </c>
      <c r="C4">
        <f>(100/78)*B4</f>
        <v>17.948717948717949</v>
      </c>
    </row>
    <row r="5" spans="1:3" x14ac:dyDescent="0.35">
      <c r="A5" t="s">
        <v>35</v>
      </c>
      <c r="B5">
        <v>20</v>
      </c>
      <c r="C5">
        <f>(100/78)*B5</f>
        <v>25.641025641025642</v>
      </c>
    </row>
    <row r="6" spans="1:3" x14ac:dyDescent="0.35">
      <c r="A6" t="s">
        <v>110</v>
      </c>
      <c r="B6">
        <v>12</v>
      </c>
      <c r="C6">
        <f>(100/78)*B6</f>
        <v>15.384615384615387</v>
      </c>
    </row>
    <row r="7" spans="1:3" x14ac:dyDescent="0.35">
      <c r="A7" t="s">
        <v>58</v>
      </c>
      <c r="B7">
        <v>10</v>
      </c>
      <c r="C7">
        <f>(100/78)*B7</f>
        <v>12.820512820512821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098387-A0DD-4B0A-81EC-7C371DE32F91}">
  <sheetPr>
    <tabColor rgb="FF0EBE40"/>
  </sheetPr>
  <dimension ref="A1:C3"/>
  <sheetViews>
    <sheetView workbookViewId="0">
      <selection activeCell="G18" sqref="G18"/>
    </sheetView>
  </sheetViews>
  <sheetFormatPr defaultRowHeight="14.5" x14ac:dyDescent="0.35"/>
  <cols>
    <col min="1" max="1" width="17.81640625" bestFit="1" customWidth="1"/>
  </cols>
  <sheetData>
    <row r="1" spans="1:3" x14ac:dyDescent="0.35">
      <c r="A1" t="s">
        <v>107</v>
      </c>
      <c r="B1" t="s">
        <v>10</v>
      </c>
      <c r="C1" t="s">
        <v>60</v>
      </c>
    </row>
    <row r="2" spans="1:3" x14ac:dyDescent="0.35">
      <c r="A2" t="s">
        <v>72</v>
      </c>
      <c r="B2">
        <v>34</v>
      </c>
      <c r="C2">
        <f>(100/78)*B2</f>
        <v>43.589743589743591</v>
      </c>
    </row>
    <row r="3" spans="1:3" x14ac:dyDescent="0.35">
      <c r="A3" t="s">
        <v>73</v>
      </c>
      <c r="B3">
        <v>44</v>
      </c>
      <c r="C3">
        <f>(100/78)*B3</f>
        <v>56.410256410256416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C76BBA-882E-4AEE-94F4-E8D2ABF11A01}">
  <sheetPr>
    <tabColor rgb="FF0EBE40"/>
  </sheetPr>
  <dimension ref="A1:C29"/>
  <sheetViews>
    <sheetView workbookViewId="0">
      <selection activeCell="C8" sqref="C8"/>
    </sheetView>
  </sheetViews>
  <sheetFormatPr defaultRowHeight="14.5" x14ac:dyDescent="0.35"/>
  <cols>
    <col min="1" max="1" width="15.26953125" customWidth="1"/>
  </cols>
  <sheetData>
    <row r="1" spans="1:3" x14ac:dyDescent="0.35">
      <c r="A1" t="s">
        <v>71</v>
      </c>
      <c r="B1" t="s">
        <v>10</v>
      </c>
      <c r="C1" t="s">
        <v>60</v>
      </c>
    </row>
    <row r="2" spans="1:3" x14ac:dyDescent="0.35">
      <c r="A2" t="s">
        <v>55</v>
      </c>
      <c r="B2">
        <v>82</v>
      </c>
      <c r="C2">
        <f>(100/126)*B2</f>
        <v>65.079365079365076</v>
      </c>
    </row>
    <row r="3" spans="1:3" x14ac:dyDescent="0.35">
      <c r="A3" t="s">
        <v>56</v>
      </c>
      <c r="B3">
        <v>56</v>
      </c>
      <c r="C3">
        <f>(100/126)*B3</f>
        <v>44.444444444444443</v>
      </c>
    </row>
    <row r="4" spans="1:3" x14ac:dyDescent="0.35">
      <c r="A4" t="s">
        <v>57</v>
      </c>
      <c r="B4">
        <v>59</v>
      </c>
      <c r="C4">
        <f>(100/126)*B4</f>
        <v>46.825396825396822</v>
      </c>
    </row>
    <row r="7" spans="1:3" x14ac:dyDescent="0.35">
      <c r="A7" s="1"/>
    </row>
    <row r="8" spans="1:3" x14ac:dyDescent="0.35">
      <c r="A8" s="1"/>
    </row>
    <row r="9" spans="1:3" x14ac:dyDescent="0.35">
      <c r="A9" s="1"/>
    </row>
    <row r="10" spans="1:3" x14ac:dyDescent="0.35">
      <c r="A10" s="1"/>
    </row>
    <row r="11" spans="1:3" x14ac:dyDescent="0.35">
      <c r="A11" s="1"/>
    </row>
    <row r="12" spans="1:3" x14ac:dyDescent="0.35">
      <c r="A12" s="1"/>
    </row>
    <row r="13" spans="1:3" x14ac:dyDescent="0.35">
      <c r="A13" s="1"/>
    </row>
    <row r="14" spans="1:3" x14ac:dyDescent="0.35">
      <c r="A14" s="1"/>
    </row>
    <row r="16" spans="1:3" x14ac:dyDescent="0.35">
      <c r="A16" s="1"/>
    </row>
    <row r="17" spans="1:1" x14ac:dyDescent="0.35">
      <c r="A17" s="1"/>
    </row>
    <row r="18" spans="1:1" x14ac:dyDescent="0.35">
      <c r="A18" s="1"/>
    </row>
    <row r="19" spans="1:1" x14ac:dyDescent="0.35">
      <c r="A19" s="1"/>
    </row>
    <row r="20" spans="1:1" x14ac:dyDescent="0.35">
      <c r="A20" s="1"/>
    </row>
    <row r="21" spans="1:1" x14ac:dyDescent="0.35">
      <c r="A21" s="1"/>
    </row>
    <row r="22" spans="1:1" x14ac:dyDescent="0.35">
      <c r="A22" s="1"/>
    </row>
    <row r="23" spans="1:1" x14ac:dyDescent="0.35">
      <c r="A23" s="1"/>
    </row>
    <row r="25" spans="1:1" x14ac:dyDescent="0.35">
      <c r="A25" s="1"/>
    </row>
    <row r="26" spans="1:1" x14ac:dyDescent="0.35">
      <c r="A26" s="1"/>
    </row>
    <row r="27" spans="1:1" x14ac:dyDescent="0.35">
      <c r="A27" s="1"/>
    </row>
    <row r="28" spans="1:1" x14ac:dyDescent="0.35">
      <c r="A28" s="1"/>
    </row>
    <row r="29" spans="1:1" x14ac:dyDescent="0.35">
      <c r="A29" s="1"/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B2AEE4-9C8E-443B-967D-ECD2A0829259}">
  <sheetPr>
    <tabColor rgb="FF0EBE40"/>
  </sheetPr>
  <dimension ref="A1:B3"/>
  <sheetViews>
    <sheetView workbookViewId="0">
      <selection activeCell="C8" sqref="C8"/>
    </sheetView>
  </sheetViews>
  <sheetFormatPr defaultRowHeight="14.5" x14ac:dyDescent="0.35"/>
  <cols>
    <col min="1" max="1" width="15.08984375" bestFit="1" customWidth="1"/>
  </cols>
  <sheetData>
    <row r="1" spans="1:2" x14ac:dyDescent="0.35">
      <c r="A1" t="s">
        <v>98</v>
      </c>
      <c r="B1" t="s">
        <v>10</v>
      </c>
    </row>
    <row r="2" spans="1:2" x14ac:dyDescent="0.35">
      <c r="A2" t="s">
        <v>67</v>
      </c>
      <c r="B2">
        <v>15</v>
      </c>
    </row>
    <row r="3" spans="1:2" x14ac:dyDescent="0.35">
      <c r="A3" t="s">
        <v>68</v>
      </c>
      <c r="B3">
        <v>111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7ABC45-A800-41D3-A8E6-11249A27140F}">
  <sheetPr>
    <tabColor rgb="FF0EBE40"/>
  </sheetPr>
  <dimension ref="A1:C4"/>
  <sheetViews>
    <sheetView workbookViewId="0">
      <selection activeCell="C8" sqref="C8"/>
    </sheetView>
  </sheetViews>
  <sheetFormatPr defaultRowHeight="14.5" x14ac:dyDescent="0.35"/>
  <sheetData>
    <row r="1" spans="1:3" x14ac:dyDescent="0.35">
      <c r="A1" t="s">
        <v>71</v>
      </c>
      <c r="B1" t="s">
        <v>67</v>
      </c>
      <c r="C1" t="s">
        <v>68</v>
      </c>
    </row>
    <row r="2" spans="1:3" x14ac:dyDescent="0.35">
      <c r="A2" t="s">
        <v>55</v>
      </c>
      <c r="B2">
        <v>9</v>
      </c>
      <c r="C2">
        <v>73</v>
      </c>
    </row>
    <row r="3" spans="1:3" x14ac:dyDescent="0.35">
      <c r="A3" t="s">
        <v>56</v>
      </c>
      <c r="B3">
        <v>5</v>
      </c>
      <c r="C3">
        <v>51</v>
      </c>
    </row>
    <row r="4" spans="1:3" x14ac:dyDescent="0.35">
      <c r="A4" t="s">
        <v>57</v>
      </c>
      <c r="B4">
        <v>14</v>
      </c>
      <c r="C4">
        <v>45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62FA6D-1E12-4051-A8BD-54EAA27420A0}">
  <sheetPr>
    <tabColor rgb="FF0EBE40"/>
  </sheetPr>
  <dimension ref="A1:B4"/>
  <sheetViews>
    <sheetView workbookViewId="0">
      <selection activeCell="C8" sqref="C8"/>
    </sheetView>
  </sheetViews>
  <sheetFormatPr defaultRowHeight="14.5" x14ac:dyDescent="0.35"/>
  <cols>
    <col min="1" max="1" width="14.1796875" bestFit="1" customWidth="1"/>
  </cols>
  <sheetData>
    <row r="1" spans="1:2" x14ac:dyDescent="0.35">
      <c r="A1" t="s">
        <v>111</v>
      </c>
      <c r="B1" t="s">
        <v>10</v>
      </c>
    </row>
    <row r="2" spans="1:2" x14ac:dyDescent="0.35">
      <c r="A2" t="s">
        <v>108</v>
      </c>
      <c r="B2">
        <v>77</v>
      </c>
    </row>
    <row r="3" spans="1:2" x14ac:dyDescent="0.35">
      <c r="A3" t="s">
        <v>94</v>
      </c>
      <c r="B3">
        <v>45</v>
      </c>
    </row>
    <row r="4" spans="1:2" x14ac:dyDescent="0.35">
      <c r="A4" t="s">
        <v>58</v>
      </c>
      <c r="B4">
        <v>4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03D0D6-B50D-423C-9D9E-45088C2C5AA1}">
  <sheetPr>
    <tabColor rgb="FF0EBE40"/>
  </sheetPr>
  <dimension ref="A1:E4"/>
  <sheetViews>
    <sheetView workbookViewId="0">
      <selection activeCell="C8" sqref="C8"/>
    </sheetView>
  </sheetViews>
  <sheetFormatPr defaultRowHeight="14.5" x14ac:dyDescent="0.35"/>
  <sheetData>
    <row r="1" spans="1:5" x14ac:dyDescent="0.35">
      <c r="A1" t="s">
        <v>116</v>
      </c>
      <c r="B1" t="s">
        <v>112</v>
      </c>
      <c r="C1" t="s">
        <v>113</v>
      </c>
      <c r="D1" t="s">
        <v>115</v>
      </c>
      <c r="E1" t="s">
        <v>114</v>
      </c>
    </row>
    <row r="2" spans="1:5" x14ac:dyDescent="0.35">
      <c r="A2" t="s">
        <v>55</v>
      </c>
      <c r="B2">
        <v>9</v>
      </c>
      <c r="C2">
        <v>6</v>
      </c>
      <c r="D2">
        <v>73</v>
      </c>
      <c r="E2">
        <v>38</v>
      </c>
    </row>
    <row r="3" spans="1:5" x14ac:dyDescent="0.35">
      <c r="A3" t="s">
        <v>56</v>
      </c>
      <c r="B3">
        <v>5</v>
      </c>
      <c r="C3">
        <v>10</v>
      </c>
      <c r="D3">
        <v>51</v>
      </c>
      <c r="E3">
        <v>60</v>
      </c>
    </row>
    <row r="4" spans="1:5" x14ac:dyDescent="0.35">
      <c r="A4" t="s">
        <v>57</v>
      </c>
      <c r="B4">
        <v>14</v>
      </c>
      <c r="C4">
        <v>1</v>
      </c>
      <c r="D4">
        <v>45</v>
      </c>
      <c r="E4">
        <v>66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254FB8-1CC0-42F8-A4AD-390CB8B48544}">
  <sheetPr>
    <tabColor rgb="FF0EBE40"/>
  </sheetPr>
  <dimension ref="A1:D4"/>
  <sheetViews>
    <sheetView workbookViewId="0">
      <selection activeCell="C8" sqref="C8"/>
    </sheetView>
  </sheetViews>
  <sheetFormatPr defaultRowHeight="14.5" x14ac:dyDescent="0.35"/>
  <sheetData>
    <row r="1" spans="1:4" x14ac:dyDescent="0.35">
      <c r="A1" t="s">
        <v>71</v>
      </c>
      <c r="B1" t="s">
        <v>108</v>
      </c>
      <c r="C1" t="s">
        <v>94</v>
      </c>
      <c r="D1" t="s">
        <v>58</v>
      </c>
    </row>
    <row r="2" spans="1:4" x14ac:dyDescent="0.35">
      <c r="A2" t="s">
        <v>55</v>
      </c>
      <c r="B2">
        <v>43</v>
      </c>
      <c r="C2">
        <v>36</v>
      </c>
      <c r="D2">
        <v>3</v>
      </c>
    </row>
    <row r="3" spans="1:4" x14ac:dyDescent="0.35">
      <c r="A3" t="s">
        <v>56</v>
      </c>
      <c r="B3">
        <v>27</v>
      </c>
      <c r="C3">
        <v>27</v>
      </c>
      <c r="D3">
        <v>2</v>
      </c>
    </row>
    <row r="4" spans="1:4" x14ac:dyDescent="0.35">
      <c r="A4" t="s">
        <v>57</v>
      </c>
      <c r="B4">
        <v>38</v>
      </c>
      <c r="C4">
        <v>17</v>
      </c>
      <c r="D4">
        <v>1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41B5FD-BE97-4499-BC7E-92A04F795C2B}">
  <dimension ref="A1:B9"/>
  <sheetViews>
    <sheetView workbookViewId="0">
      <selection activeCell="A31" sqref="A31"/>
    </sheetView>
  </sheetViews>
  <sheetFormatPr defaultRowHeight="14.5" x14ac:dyDescent="0.35"/>
  <cols>
    <col min="1" max="1" width="27.08984375" bestFit="1" customWidth="1"/>
    <col min="2" max="2" width="24.36328125" bestFit="1" customWidth="1"/>
    <col min="3" max="3" width="29.36328125" bestFit="1" customWidth="1"/>
    <col min="4" max="4" width="29.36328125" customWidth="1"/>
    <col min="5" max="5" width="39.453125" bestFit="1" customWidth="1"/>
  </cols>
  <sheetData>
    <row r="1" spans="1:2" x14ac:dyDescent="0.35">
      <c r="A1" t="s">
        <v>28</v>
      </c>
      <c r="B1" t="s">
        <v>104</v>
      </c>
    </row>
    <row r="2" spans="1:2" x14ac:dyDescent="0.35">
      <c r="A2" s="1" t="s">
        <v>29</v>
      </c>
      <c r="B2">
        <v>2.77</v>
      </c>
    </row>
    <row r="3" spans="1:2" x14ac:dyDescent="0.35">
      <c r="A3" s="1" t="s">
        <v>30</v>
      </c>
      <c r="B3">
        <v>3.39</v>
      </c>
    </row>
    <row r="4" spans="1:2" x14ac:dyDescent="0.35">
      <c r="A4" s="1" t="s">
        <v>31</v>
      </c>
      <c r="B4">
        <v>2.87</v>
      </c>
    </row>
    <row r="5" spans="1:2" x14ac:dyDescent="0.35">
      <c r="A5" s="1" t="s">
        <v>32</v>
      </c>
      <c r="B5">
        <v>3.43</v>
      </c>
    </row>
    <row r="7" spans="1:2" x14ac:dyDescent="0.35">
      <c r="A7" s="1" t="s">
        <v>105</v>
      </c>
    </row>
    <row r="8" spans="1:2" x14ac:dyDescent="0.35">
      <c r="A8" s="1" t="s">
        <v>62</v>
      </c>
      <c r="B8">
        <v>3.07</v>
      </c>
    </row>
    <row r="9" spans="1:2" x14ac:dyDescent="0.35">
      <c r="A9" s="1" t="s">
        <v>65</v>
      </c>
      <c r="B9">
        <v>3.11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95826A-0DDD-45FE-BAA4-A49F6EFB6698}">
  <dimension ref="A1:J13"/>
  <sheetViews>
    <sheetView zoomScale="115" zoomScaleNormal="115" workbookViewId="0">
      <selection activeCell="G16" sqref="G16"/>
    </sheetView>
  </sheetViews>
  <sheetFormatPr defaultRowHeight="14.5" x14ac:dyDescent="0.35"/>
  <cols>
    <col min="1" max="1" width="14.81640625" customWidth="1"/>
  </cols>
  <sheetData>
    <row r="1" spans="1:10" x14ac:dyDescent="0.35">
      <c r="A1" t="s">
        <v>11</v>
      </c>
      <c r="B1" t="s">
        <v>117</v>
      </c>
      <c r="C1" t="s">
        <v>118</v>
      </c>
      <c r="D1" t="s">
        <v>119</v>
      </c>
      <c r="E1" t="s">
        <v>120</v>
      </c>
      <c r="F1" t="s">
        <v>121</v>
      </c>
      <c r="G1" t="s">
        <v>122</v>
      </c>
      <c r="H1" t="s">
        <v>123</v>
      </c>
      <c r="I1" t="s">
        <v>124</v>
      </c>
      <c r="J1" t="s">
        <v>125</v>
      </c>
    </row>
    <row r="2" spans="1:10" ht="29" x14ac:dyDescent="0.35">
      <c r="A2" s="1" t="s">
        <v>22</v>
      </c>
      <c r="B2">
        <v>14</v>
      </c>
      <c r="C2">
        <v>36</v>
      </c>
      <c r="D2">
        <v>5</v>
      </c>
      <c r="E2">
        <v>3</v>
      </c>
      <c r="F2">
        <f t="shared" ref="F2:F13" si="0">SUM(B2:E2)</f>
        <v>58</v>
      </c>
      <c r="G2">
        <f>(100/F2)*B2</f>
        <v>24.137931034482758</v>
      </c>
      <c r="H2">
        <f>(100/F2)*C2</f>
        <v>62.068965517241374</v>
      </c>
      <c r="I2">
        <f>(100/F2)*D2</f>
        <v>8.6206896551724128</v>
      </c>
      <c r="J2">
        <f>(100/F2)*E2</f>
        <v>5.1724137931034484</v>
      </c>
    </row>
    <row r="3" spans="1:10" ht="43.5" x14ac:dyDescent="0.35">
      <c r="A3" s="1" t="s">
        <v>12</v>
      </c>
      <c r="B3">
        <v>9</v>
      </c>
      <c r="C3">
        <v>6</v>
      </c>
      <c r="D3">
        <v>5</v>
      </c>
      <c r="E3">
        <v>0</v>
      </c>
      <c r="F3">
        <f t="shared" si="0"/>
        <v>20</v>
      </c>
      <c r="G3">
        <f>(100/F3)*B3</f>
        <v>45</v>
      </c>
      <c r="H3">
        <f t="shared" ref="H3:H13" si="1">(100/F3)*C3</f>
        <v>30</v>
      </c>
      <c r="I3">
        <f t="shared" ref="I3:I13" si="2">(100/F3)*D3</f>
        <v>25</v>
      </c>
      <c r="J3">
        <f t="shared" ref="J3:J13" si="3">(100/F3)*E3</f>
        <v>0</v>
      </c>
    </row>
    <row r="4" spans="1:10" ht="29" x14ac:dyDescent="0.35">
      <c r="A4" s="1" t="s">
        <v>16</v>
      </c>
      <c r="B4">
        <v>7</v>
      </c>
      <c r="C4">
        <v>3</v>
      </c>
      <c r="E4">
        <v>0</v>
      </c>
      <c r="F4">
        <f t="shared" si="0"/>
        <v>10</v>
      </c>
      <c r="G4">
        <f>(100/F4)*B4</f>
        <v>70</v>
      </c>
      <c r="H4">
        <f t="shared" si="1"/>
        <v>30</v>
      </c>
      <c r="I4">
        <f t="shared" si="2"/>
        <v>0</v>
      </c>
      <c r="J4">
        <f t="shared" si="3"/>
        <v>0</v>
      </c>
    </row>
    <row r="5" spans="1:10" ht="29" x14ac:dyDescent="0.35">
      <c r="A5" s="1" t="s">
        <v>19</v>
      </c>
      <c r="B5">
        <v>3</v>
      </c>
      <c r="C5">
        <v>3</v>
      </c>
      <c r="D5">
        <v>1</v>
      </c>
      <c r="E5">
        <v>0</v>
      </c>
      <c r="F5">
        <f t="shared" si="0"/>
        <v>7</v>
      </c>
      <c r="G5">
        <f>(100/F5)*B5</f>
        <v>42.857142857142861</v>
      </c>
      <c r="H5">
        <f t="shared" si="1"/>
        <v>42.857142857142861</v>
      </c>
      <c r="I5">
        <f t="shared" si="2"/>
        <v>14.285714285714286</v>
      </c>
      <c r="J5">
        <f t="shared" si="3"/>
        <v>0</v>
      </c>
    </row>
    <row r="6" spans="1:10" ht="29" x14ac:dyDescent="0.35">
      <c r="A6" s="1" t="s">
        <v>14</v>
      </c>
      <c r="B6">
        <v>9</v>
      </c>
      <c r="C6">
        <v>4</v>
      </c>
      <c r="D6">
        <v>2</v>
      </c>
      <c r="E6">
        <v>1</v>
      </c>
      <c r="F6">
        <f t="shared" si="0"/>
        <v>16</v>
      </c>
      <c r="G6">
        <f>(100/F6)*B6</f>
        <v>56.25</v>
      </c>
      <c r="H6">
        <f t="shared" si="1"/>
        <v>25</v>
      </c>
      <c r="I6">
        <f t="shared" si="2"/>
        <v>12.5</v>
      </c>
      <c r="J6">
        <f t="shared" si="3"/>
        <v>6.25</v>
      </c>
    </row>
    <row r="7" spans="1:10" x14ac:dyDescent="0.35">
      <c r="A7" s="1" t="s">
        <v>20</v>
      </c>
      <c r="B7">
        <v>0</v>
      </c>
      <c r="C7">
        <v>0</v>
      </c>
      <c r="D7">
        <v>0</v>
      </c>
      <c r="E7">
        <v>0</v>
      </c>
      <c r="F7">
        <f t="shared" si="0"/>
        <v>0</v>
      </c>
      <c r="G7">
        <v>0</v>
      </c>
      <c r="H7">
        <v>0</v>
      </c>
      <c r="I7">
        <v>0</v>
      </c>
      <c r="J7">
        <v>0</v>
      </c>
    </row>
    <row r="8" spans="1:10" x14ac:dyDescent="0.35">
      <c r="A8" s="1" t="s">
        <v>18</v>
      </c>
      <c r="B8">
        <v>0</v>
      </c>
      <c r="C8">
        <v>0</v>
      </c>
      <c r="D8">
        <v>0</v>
      </c>
      <c r="E8">
        <v>0</v>
      </c>
      <c r="F8">
        <f t="shared" si="0"/>
        <v>0</v>
      </c>
      <c r="G8">
        <v>0</v>
      </c>
      <c r="H8">
        <v>0</v>
      </c>
      <c r="I8">
        <v>0</v>
      </c>
      <c r="J8">
        <v>0</v>
      </c>
    </row>
    <row r="9" spans="1:10" x14ac:dyDescent="0.35">
      <c r="A9" s="1" t="s">
        <v>17</v>
      </c>
      <c r="B9">
        <v>0</v>
      </c>
      <c r="C9">
        <v>1</v>
      </c>
      <c r="D9">
        <v>0</v>
      </c>
      <c r="E9">
        <v>0</v>
      </c>
      <c r="F9">
        <f t="shared" si="0"/>
        <v>1</v>
      </c>
      <c r="G9">
        <f>(100/F9)*B9</f>
        <v>0</v>
      </c>
      <c r="H9">
        <f t="shared" si="1"/>
        <v>100</v>
      </c>
      <c r="I9">
        <f t="shared" si="2"/>
        <v>0</v>
      </c>
      <c r="J9">
        <f t="shared" si="3"/>
        <v>0</v>
      </c>
    </row>
    <row r="10" spans="1:10" x14ac:dyDescent="0.35">
      <c r="A10" s="1" t="s">
        <v>13</v>
      </c>
      <c r="B10">
        <v>3</v>
      </c>
      <c r="C10">
        <v>0</v>
      </c>
      <c r="D10">
        <v>0</v>
      </c>
      <c r="E10">
        <v>0</v>
      </c>
      <c r="F10">
        <f t="shared" si="0"/>
        <v>3</v>
      </c>
      <c r="G10">
        <f>(100/F10)*B10</f>
        <v>100</v>
      </c>
      <c r="H10">
        <f t="shared" si="1"/>
        <v>0</v>
      </c>
      <c r="I10">
        <f t="shared" si="2"/>
        <v>0</v>
      </c>
      <c r="J10">
        <f t="shared" si="3"/>
        <v>0</v>
      </c>
    </row>
    <row r="11" spans="1:10" ht="29" x14ac:dyDescent="0.35">
      <c r="A11" s="1" t="s">
        <v>25</v>
      </c>
      <c r="B11">
        <v>2</v>
      </c>
      <c r="C11">
        <v>0</v>
      </c>
      <c r="D11">
        <v>0</v>
      </c>
      <c r="E11">
        <v>0</v>
      </c>
      <c r="F11">
        <f t="shared" si="0"/>
        <v>2</v>
      </c>
      <c r="G11">
        <f>(100/F11)*B11</f>
        <v>100</v>
      </c>
      <c r="H11">
        <f t="shared" si="1"/>
        <v>0</v>
      </c>
      <c r="I11">
        <f t="shared" si="2"/>
        <v>0</v>
      </c>
      <c r="J11">
        <f t="shared" si="3"/>
        <v>0</v>
      </c>
    </row>
    <row r="12" spans="1:10" x14ac:dyDescent="0.35">
      <c r="A12" s="1" t="s">
        <v>15</v>
      </c>
      <c r="B12">
        <v>0</v>
      </c>
      <c r="C12">
        <v>2</v>
      </c>
      <c r="D12">
        <v>2</v>
      </c>
      <c r="E12">
        <v>3</v>
      </c>
      <c r="F12">
        <f t="shared" si="0"/>
        <v>7</v>
      </c>
      <c r="G12">
        <f>(100/F12)*B12</f>
        <v>0</v>
      </c>
      <c r="H12">
        <f t="shared" si="1"/>
        <v>28.571428571428573</v>
      </c>
      <c r="I12">
        <f t="shared" si="2"/>
        <v>28.571428571428573</v>
      </c>
      <c r="J12">
        <f t="shared" si="3"/>
        <v>42.857142857142861</v>
      </c>
    </row>
    <row r="13" spans="1:10" ht="29" x14ac:dyDescent="0.35">
      <c r="A13" s="1" t="s">
        <v>21</v>
      </c>
      <c r="B13">
        <v>0</v>
      </c>
      <c r="C13">
        <v>2</v>
      </c>
      <c r="D13">
        <v>0</v>
      </c>
      <c r="E13">
        <v>0</v>
      </c>
      <c r="F13">
        <f t="shared" si="0"/>
        <v>2</v>
      </c>
      <c r="G13">
        <f>(100/F13)*B13</f>
        <v>0</v>
      </c>
      <c r="H13">
        <f t="shared" si="1"/>
        <v>100</v>
      </c>
      <c r="I13">
        <f t="shared" si="2"/>
        <v>0</v>
      </c>
      <c r="J13">
        <f t="shared" si="3"/>
        <v>0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320A6A-C8FC-40E7-8ABE-EBFB452DD465}">
  <dimension ref="A1:M9"/>
  <sheetViews>
    <sheetView workbookViewId="0">
      <selection activeCell="B9" sqref="B9"/>
    </sheetView>
  </sheetViews>
  <sheetFormatPr defaultRowHeight="14.5" x14ac:dyDescent="0.35"/>
  <cols>
    <col min="1" max="1" width="12.453125" customWidth="1"/>
    <col min="2" max="2" width="17.453125" customWidth="1"/>
  </cols>
  <sheetData>
    <row r="1" spans="1:13" x14ac:dyDescent="0.35">
      <c r="A1" s="1"/>
      <c r="B1" t="s">
        <v>22</v>
      </c>
      <c r="C1" t="s">
        <v>12</v>
      </c>
      <c r="D1" t="s">
        <v>16</v>
      </c>
      <c r="E1" t="s">
        <v>19</v>
      </c>
      <c r="F1" t="s">
        <v>27</v>
      </c>
      <c r="G1" t="s">
        <v>24</v>
      </c>
      <c r="H1" t="s">
        <v>18</v>
      </c>
      <c r="I1" t="s">
        <v>23</v>
      </c>
      <c r="J1" s="1" t="s">
        <v>13</v>
      </c>
      <c r="K1" t="s">
        <v>25</v>
      </c>
      <c r="L1" t="s">
        <v>15</v>
      </c>
      <c r="M1" t="s">
        <v>21</v>
      </c>
    </row>
    <row r="2" spans="1:13" x14ac:dyDescent="0.35">
      <c r="A2" s="1" t="s">
        <v>49</v>
      </c>
      <c r="B2">
        <v>48</v>
      </c>
      <c r="C2">
        <v>4</v>
      </c>
      <c r="D2">
        <v>8</v>
      </c>
      <c r="E2">
        <v>3</v>
      </c>
      <c r="F2">
        <v>5</v>
      </c>
      <c r="G2">
        <v>2</v>
      </c>
      <c r="H2">
        <v>1</v>
      </c>
      <c r="I2">
        <v>0</v>
      </c>
      <c r="J2">
        <v>3</v>
      </c>
      <c r="K2">
        <v>2</v>
      </c>
      <c r="L2">
        <v>3</v>
      </c>
      <c r="M2">
        <v>2</v>
      </c>
    </row>
    <row r="3" spans="1:13" x14ac:dyDescent="0.35">
      <c r="A3" s="1" t="s">
        <v>50</v>
      </c>
      <c r="B3">
        <v>16</v>
      </c>
      <c r="C3">
        <v>0</v>
      </c>
      <c r="D3">
        <v>6</v>
      </c>
      <c r="E3">
        <v>1</v>
      </c>
      <c r="F3">
        <v>1</v>
      </c>
      <c r="G3">
        <v>1</v>
      </c>
      <c r="H3">
        <v>0</v>
      </c>
      <c r="I3">
        <v>0</v>
      </c>
      <c r="J3">
        <v>0</v>
      </c>
      <c r="K3">
        <v>0</v>
      </c>
      <c r="L3">
        <v>4</v>
      </c>
      <c r="M3">
        <v>0</v>
      </c>
    </row>
    <row r="4" spans="1:13" ht="29" x14ac:dyDescent="0.35">
      <c r="A4" s="1" t="s">
        <v>51</v>
      </c>
      <c r="B4">
        <v>13</v>
      </c>
      <c r="C4">
        <v>15</v>
      </c>
      <c r="D4">
        <v>7</v>
      </c>
      <c r="E4">
        <v>4</v>
      </c>
      <c r="F4">
        <v>14</v>
      </c>
      <c r="G4">
        <v>0</v>
      </c>
      <c r="H4">
        <v>0</v>
      </c>
      <c r="I4">
        <v>0</v>
      </c>
      <c r="J4">
        <v>1</v>
      </c>
      <c r="K4">
        <v>0</v>
      </c>
      <c r="L4">
        <v>2</v>
      </c>
      <c r="M4">
        <v>0</v>
      </c>
    </row>
    <row r="5" spans="1:13" x14ac:dyDescent="0.35">
      <c r="A5" s="1" t="s">
        <v>52</v>
      </c>
      <c r="B5">
        <v>9</v>
      </c>
      <c r="C5">
        <v>7</v>
      </c>
      <c r="D5">
        <v>1</v>
      </c>
      <c r="E5">
        <v>1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</row>
    <row r="6" spans="1:13" x14ac:dyDescent="0.35">
      <c r="A6" s="1" t="s">
        <v>18</v>
      </c>
      <c r="B6">
        <v>14</v>
      </c>
      <c r="C6">
        <v>4</v>
      </c>
      <c r="D6">
        <v>2</v>
      </c>
      <c r="E6">
        <v>0</v>
      </c>
      <c r="F6">
        <v>5</v>
      </c>
      <c r="G6">
        <v>0</v>
      </c>
      <c r="H6">
        <v>0</v>
      </c>
      <c r="I6">
        <v>1</v>
      </c>
      <c r="J6">
        <v>0</v>
      </c>
      <c r="K6">
        <v>0</v>
      </c>
      <c r="L6">
        <v>0</v>
      </c>
      <c r="M6">
        <v>0</v>
      </c>
    </row>
    <row r="7" spans="1:13" x14ac:dyDescent="0.35">
      <c r="A7" s="1" t="s">
        <v>53</v>
      </c>
      <c r="B7">
        <v>4</v>
      </c>
      <c r="C7">
        <v>10</v>
      </c>
      <c r="D7">
        <v>0</v>
      </c>
      <c r="E7">
        <v>4</v>
      </c>
      <c r="F7">
        <v>4</v>
      </c>
      <c r="G7">
        <v>0</v>
      </c>
      <c r="H7">
        <v>0</v>
      </c>
      <c r="I7">
        <v>0</v>
      </c>
      <c r="J7">
        <v>0</v>
      </c>
      <c r="K7">
        <v>1</v>
      </c>
      <c r="L7">
        <v>1</v>
      </c>
      <c r="M7">
        <v>2</v>
      </c>
    </row>
    <row r="8" spans="1:13" x14ac:dyDescent="0.35">
      <c r="A8" s="1" t="s">
        <v>54</v>
      </c>
      <c r="B8">
        <v>13</v>
      </c>
      <c r="C8">
        <v>3</v>
      </c>
      <c r="D8">
        <v>6</v>
      </c>
      <c r="E8">
        <v>1</v>
      </c>
      <c r="F8">
        <v>3</v>
      </c>
      <c r="G8">
        <v>1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</row>
    <row r="9" spans="1:13" ht="43.5" x14ac:dyDescent="0.35">
      <c r="A9" s="1" t="s">
        <v>132</v>
      </c>
      <c r="B9">
        <v>2</v>
      </c>
      <c r="C9">
        <v>0</v>
      </c>
      <c r="D9">
        <v>0</v>
      </c>
      <c r="E9">
        <v>0</v>
      </c>
      <c r="F9">
        <v>1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180C9F-5E75-4C27-BC54-894BDB7B7771}">
  <dimension ref="A1:C5"/>
  <sheetViews>
    <sheetView workbookViewId="0">
      <selection activeCell="I9" sqref="I9"/>
    </sheetView>
  </sheetViews>
  <sheetFormatPr defaultRowHeight="14.5" x14ac:dyDescent="0.35"/>
  <sheetData>
    <row r="1" spans="1:3" x14ac:dyDescent="0.35">
      <c r="A1" t="s">
        <v>44</v>
      </c>
      <c r="B1" t="s">
        <v>10</v>
      </c>
      <c r="C1" t="s">
        <v>60</v>
      </c>
    </row>
    <row r="2" spans="1:3" x14ac:dyDescent="0.35">
      <c r="A2" t="s">
        <v>45</v>
      </c>
      <c r="B2">
        <v>25</v>
      </c>
      <c r="C2">
        <f>(100/B5)*B2</f>
        <v>19.841269841269842</v>
      </c>
    </row>
    <row r="3" spans="1:3" x14ac:dyDescent="0.35">
      <c r="A3" t="s">
        <v>46</v>
      </c>
      <c r="B3">
        <v>39</v>
      </c>
      <c r="C3">
        <f>(100/B5)*B3</f>
        <v>30.952380952380949</v>
      </c>
    </row>
    <row r="4" spans="1:3" x14ac:dyDescent="0.35">
      <c r="A4" t="s">
        <v>47</v>
      </c>
      <c r="B4">
        <v>62</v>
      </c>
      <c r="C4">
        <f>(100/B5)*B4</f>
        <v>49.206349206349202</v>
      </c>
    </row>
    <row r="5" spans="1:3" x14ac:dyDescent="0.35">
      <c r="B5">
        <f>SUM(B2:B4)</f>
        <v>126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200CA1-E12A-400E-BD9A-C1A927E1D1E7}">
  <dimension ref="A1:C3"/>
  <sheetViews>
    <sheetView workbookViewId="0">
      <selection activeCell="C24" sqref="C24"/>
    </sheetView>
  </sheetViews>
  <sheetFormatPr defaultRowHeight="14.5" x14ac:dyDescent="0.35"/>
  <cols>
    <col min="1" max="1" width="13.453125" bestFit="1" customWidth="1"/>
  </cols>
  <sheetData>
    <row r="1" spans="1:3" x14ac:dyDescent="0.35">
      <c r="A1" t="s">
        <v>64</v>
      </c>
      <c r="B1" t="s">
        <v>10</v>
      </c>
      <c r="C1" t="s">
        <v>60</v>
      </c>
    </row>
    <row r="2" spans="1:3" x14ac:dyDescent="0.35">
      <c r="A2" t="s">
        <v>62</v>
      </c>
      <c r="B2">
        <v>95</v>
      </c>
      <c r="C2">
        <f>(100/133)*B2</f>
        <v>71.428571428571431</v>
      </c>
    </row>
    <row r="3" spans="1:3" x14ac:dyDescent="0.35">
      <c r="A3" t="s">
        <v>63</v>
      </c>
      <c r="B3">
        <v>38</v>
      </c>
      <c r="C3">
        <f>(100/133)*B3</f>
        <v>28.571428571428569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285342-D26B-49F1-99C5-27E5270BE9B0}">
  <dimension ref="A1:H9"/>
  <sheetViews>
    <sheetView workbookViewId="0">
      <selection activeCell="N33" sqref="N33"/>
    </sheetView>
  </sheetViews>
  <sheetFormatPr defaultRowHeight="14.5" x14ac:dyDescent="0.35"/>
  <cols>
    <col min="1" max="1" width="17.7265625" bestFit="1" customWidth="1"/>
    <col min="2" max="2" width="6.26953125" customWidth="1"/>
    <col min="4" max="4" width="10.90625" bestFit="1" customWidth="1"/>
    <col min="5" max="5" width="5.81640625" bestFit="1" customWidth="1"/>
    <col min="7" max="7" width="18.81640625" customWidth="1"/>
    <col min="8" max="8" width="5.81640625" bestFit="1" customWidth="1"/>
  </cols>
  <sheetData>
    <row r="1" spans="1:8" x14ac:dyDescent="0.35">
      <c r="A1" t="s">
        <v>74</v>
      </c>
      <c r="B1" t="s">
        <v>10</v>
      </c>
      <c r="D1" t="s">
        <v>55</v>
      </c>
      <c r="E1" t="s">
        <v>10</v>
      </c>
      <c r="G1" s="1" t="s">
        <v>83</v>
      </c>
      <c r="H1" t="s">
        <v>10</v>
      </c>
    </row>
    <row r="2" spans="1:8" ht="29" x14ac:dyDescent="0.35">
      <c r="A2" s="1" t="s">
        <v>75</v>
      </c>
      <c r="B2">
        <v>13</v>
      </c>
      <c r="D2" t="s">
        <v>8</v>
      </c>
      <c r="E2">
        <v>20</v>
      </c>
      <c r="G2" s="1" t="s">
        <v>84</v>
      </c>
      <c r="H2">
        <v>7</v>
      </c>
    </row>
    <row r="3" spans="1:8" ht="29" x14ac:dyDescent="0.35">
      <c r="A3" s="1" t="s">
        <v>76</v>
      </c>
      <c r="B3">
        <v>20</v>
      </c>
      <c r="D3" t="s">
        <v>90</v>
      </c>
      <c r="E3">
        <v>58</v>
      </c>
      <c r="G3" s="1" t="s">
        <v>87</v>
      </c>
      <c r="H3">
        <v>3</v>
      </c>
    </row>
    <row r="4" spans="1:8" x14ac:dyDescent="0.35">
      <c r="A4" s="1" t="s">
        <v>77</v>
      </c>
      <c r="B4">
        <v>7</v>
      </c>
      <c r="D4" t="s">
        <v>92</v>
      </c>
      <c r="E4">
        <v>1</v>
      </c>
      <c r="G4" s="1" t="s">
        <v>85</v>
      </c>
      <c r="H4">
        <v>4</v>
      </c>
    </row>
    <row r="5" spans="1:8" ht="29" x14ac:dyDescent="0.35">
      <c r="A5" s="1" t="s">
        <v>78</v>
      </c>
      <c r="B5">
        <v>1</v>
      </c>
      <c r="D5" t="s">
        <v>93</v>
      </c>
      <c r="E5">
        <v>3</v>
      </c>
      <c r="G5" s="1" t="s">
        <v>86</v>
      </c>
      <c r="H5">
        <v>15</v>
      </c>
    </row>
    <row r="6" spans="1:8" x14ac:dyDescent="0.35">
      <c r="A6" s="1" t="s">
        <v>79</v>
      </c>
      <c r="B6">
        <v>14</v>
      </c>
      <c r="E6">
        <f>SUM(E2:E5)</f>
        <v>82</v>
      </c>
      <c r="G6" s="1" t="s">
        <v>58</v>
      </c>
      <c r="H6">
        <v>5</v>
      </c>
    </row>
    <row r="7" spans="1:8" x14ac:dyDescent="0.35">
      <c r="A7" s="1" t="s">
        <v>80</v>
      </c>
      <c r="B7">
        <v>6</v>
      </c>
      <c r="G7" s="1" t="s">
        <v>88</v>
      </c>
      <c r="H7">
        <v>20</v>
      </c>
    </row>
    <row r="8" spans="1:8" ht="29" x14ac:dyDescent="0.35">
      <c r="A8" s="1" t="s">
        <v>81</v>
      </c>
      <c r="B8">
        <v>15</v>
      </c>
      <c r="G8" s="1" t="s">
        <v>89</v>
      </c>
      <c r="H8">
        <v>2</v>
      </c>
    </row>
    <row r="9" spans="1:8" x14ac:dyDescent="0.35">
      <c r="A9" s="1" t="s">
        <v>82</v>
      </c>
      <c r="B9">
        <v>2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E2F29E-AF2E-40AB-841B-6688AF8EE6F6}">
  <dimension ref="A1:E8"/>
  <sheetViews>
    <sheetView tabSelected="1" workbookViewId="0">
      <selection activeCell="H5" sqref="H5"/>
    </sheetView>
  </sheetViews>
  <sheetFormatPr defaultRowHeight="14.5" x14ac:dyDescent="0.35"/>
  <cols>
    <col min="1" max="1" width="10.7265625" customWidth="1"/>
    <col min="2" max="2" width="10.453125" bestFit="1" customWidth="1"/>
    <col min="3" max="3" width="11.81640625" bestFit="1" customWidth="1"/>
    <col min="4" max="4" width="8.26953125" bestFit="1" customWidth="1"/>
    <col min="5" max="5" width="13.08984375" bestFit="1" customWidth="1"/>
  </cols>
  <sheetData>
    <row r="1" spans="1:5" ht="29" x14ac:dyDescent="0.35">
      <c r="A1" s="1" t="s">
        <v>83</v>
      </c>
      <c r="B1" s="4" t="s">
        <v>29</v>
      </c>
      <c r="C1" s="4" t="s">
        <v>30</v>
      </c>
      <c r="D1" s="4" t="s">
        <v>31</v>
      </c>
      <c r="E1" s="4" t="s">
        <v>32</v>
      </c>
    </row>
    <row r="2" spans="1:5" ht="29" x14ac:dyDescent="0.35">
      <c r="A2" s="1" t="s">
        <v>84</v>
      </c>
      <c r="B2">
        <v>1</v>
      </c>
      <c r="C2">
        <v>3</v>
      </c>
      <c r="D2">
        <v>2</v>
      </c>
      <c r="E2">
        <v>1</v>
      </c>
    </row>
    <row r="3" spans="1:5" ht="29" x14ac:dyDescent="0.35">
      <c r="A3" s="1" t="s">
        <v>87</v>
      </c>
      <c r="B3">
        <v>0</v>
      </c>
      <c r="C3">
        <v>3</v>
      </c>
      <c r="D3">
        <v>0</v>
      </c>
      <c r="E3">
        <v>0</v>
      </c>
    </row>
    <row r="4" spans="1:5" ht="29" x14ac:dyDescent="0.35">
      <c r="A4" s="1" t="s">
        <v>85</v>
      </c>
      <c r="B4">
        <v>0</v>
      </c>
      <c r="C4">
        <v>4</v>
      </c>
      <c r="D4">
        <v>0</v>
      </c>
      <c r="E4">
        <v>0</v>
      </c>
    </row>
    <row r="5" spans="1:5" x14ac:dyDescent="0.35">
      <c r="A5" s="1" t="s">
        <v>86</v>
      </c>
      <c r="B5">
        <v>4</v>
      </c>
      <c r="C5">
        <v>7</v>
      </c>
      <c r="D5">
        <v>4</v>
      </c>
    </row>
    <row r="6" spans="1:5" x14ac:dyDescent="0.35">
      <c r="A6" s="1" t="s">
        <v>58</v>
      </c>
      <c r="B6">
        <v>1</v>
      </c>
      <c r="C6">
        <v>3</v>
      </c>
      <c r="D6">
        <v>1</v>
      </c>
      <c r="E6">
        <v>0</v>
      </c>
    </row>
    <row r="7" spans="1:5" ht="29" x14ac:dyDescent="0.35">
      <c r="A7" s="1" t="s">
        <v>88</v>
      </c>
      <c r="B7">
        <v>8</v>
      </c>
      <c r="C7">
        <v>8</v>
      </c>
      <c r="D7">
        <v>3</v>
      </c>
      <c r="E7">
        <v>1</v>
      </c>
    </row>
    <row r="8" spans="1:5" x14ac:dyDescent="0.35">
      <c r="A8" s="1" t="s">
        <v>89</v>
      </c>
      <c r="B8">
        <v>1</v>
      </c>
      <c r="C8">
        <v>1</v>
      </c>
      <c r="D8">
        <v>0</v>
      </c>
      <c r="E8">
        <v>0</v>
      </c>
    </row>
  </sheetData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bdeaeda8-c81d-45ce-863e-5232a535b7cb}" enabled="0" method="" siteId="{bdeaeda8-c81d-45ce-863e-5232a535b7cb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24</vt:i4>
      </vt:variant>
    </vt:vector>
  </HeadingPairs>
  <TitlesOfParts>
    <vt:vector size="24" baseType="lpstr">
      <vt:lpstr>Information</vt:lpstr>
      <vt:lpstr>Region</vt:lpstr>
      <vt:lpstr>Temporal analysis</vt:lpstr>
      <vt:lpstr>Sector</vt:lpstr>
      <vt:lpstr>Region sector</vt:lpstr>
      <vt:lpstr>Scale</vt:lpstr>
      <vt:lpstr>Climate risk</vt:lpstr>
      <vt:lpstr>Adaptation type</vt:lpstr>
      <vt:lpstr>Strategy count</vt:lpstr>
      <vt:lpstr>Scenarios</vt:lpstr>
      <vt:lpstr>Climate metric</vt:lpstr>
      <vt:lpstr>Evaluation</vt:lpstr>
      <vt:lpstr>Participatory methods</vt:lpstr>
      <vt:lpstr>PM and evaluation</vt:lpstr>
      <vt:lpstr>Decision method</vt:lpstr>
      <vt:lpstr>Fisher test</vt:lpstr>
      <vt:lpstr>Decision and evaluation</vt:lpstr>
      <vt:lpstr>Strategy count, scale, calib</vt:lpstr>
      <vt:lpstr>Scale + sector</vt:lpstr>
      <vt:lpstr>Type + Sector</vt:lpstr>
      <vt:lpstr>Adaptation timing</vt:lpstr>
      <vt:lpstr>Maladaptation</vt:lpstr>
      <vt:lpstr>Evaluation methods</vt:lpstr>
      <vt:lpstr>Calib + scale</vt:lpstr>
    </vt:vector>
  </TitlesOfParts>
  <Company>University of Leeds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Ruth Williams</dc:creator>
  <cp:lastModifiedBy>Ruth Williams</cp:lastModifiedBy>
  <dcterms:created xsi:type="dcterms:W3CDTF">2026-03-02T10:32:16Z</dcterms:created>
  <dcterms:modified xsi:type="dcterms:W3CDTF">2026-10-28T10:37:36Z</dcterms:modified>
</cp:coreProperties>
</file>